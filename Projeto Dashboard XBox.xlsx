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uilherme\OneDrive\Área de Trabalho\Doutorado\Engenharia de Dados\Felipão\"/>
    </mc:Choice>
  </mc:AlternateContent>
  <xr:revisionPtr revIDLastSave="0" documentId="13_ncr:1_{5D9FE56C-68E6-4539-8FB1-EAEE0D088FD1}" xr6:coauthVersionLast="47" xr6:coauthVersionMax="47" xr10:uidLastSave="{00000000-0000-0000-0000-000000000000}"/>
  <bookViews>
    <workbookView xWindow="-19310" yWindow="-110" windowWidth="19420" windowHeight="11020" activeTab="3" xr2:uid="{28DD5B76-0634-4F87-BE60-8BFA7EF2E23B}"/>
  </bookViews>
  <sheets>
    <sheet name="A̳ssets" sheetId="1" r:id="rId1"/>
    <sheet name="B̳ases" sheetId="2" r:id="rId2"/>
    <sheet name="C̳álculos" sheetId="3" r:id="rId3"/>
    <sheet name="D̳ashboard" sheetId="4" r:id="rId4"/>
  </sheets>
  <definedNames>
    <definedName name="Slicer_Subscription_Type1">#N/A</definedName>
  </definedNames>
  <calcPr calcId="191029"/>
  <pivotCaches>
    <pivotCache cacheId="16" r:id="rId5"/>
    <pivotCache cacheId="2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3" l="1"/>
  <c r="F24" i="3"/>
  <c r="F25" i="3"/>
  <c r="F26" i="3"/>
  <c r="F27" i="3"/>
  <c r="F28" i="3"/>
  <c r="F29" i="3"/>
  <c r="F19" i="3"/>
  <c r="F20" i="3"/>
  <c r="F21" i="3"/>
  <c r="F22" i="3"/>
  <c r="F18" i="3"/>
  <c r="E18" i="3"/>
  <c r="E19" i="3"/>
  <c r="E20" i="3"/>
  <c r="E21" i="3"/>
  <c r="E22" i="3"/>
  <c r="E23" i="3"/>
  <c r="E24" i="3"/>
  <c r="E25" i="3"/>
  <c r="E26" i="3"/>
  <c r="E27" i="3"/>
  <c r="E28" i="3"/>
  <c r="E29" i="3"/>
  <c r="G14" i="3"/>
  <c r="G13" i="3"/>
  <c r="F14" i="3"/>
  <c r="F13" i="3"/>
  <c r="J14" i="4"/>
  <c r="J11" i="4"/>
  <c r="J8" i="4"/>
</calcChain>
</file>

<file path=xl/sharedStrings.xml><?xml version="1.0" encoding="utf-8"?>
<sst xmlns="http://schemas.openxmlformats.org/spreadsheetml/2006/main" count="2021" uniqueCount="336">
  <si>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</si>
  <si>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</si>
  <si>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</si>
  <si>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</si>
  <si>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</si>
  <si>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</si>
  <si>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</si>
  <si>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</si>
  <si>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</si>
  <si>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</si>
  <si>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</si>
  <si>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</si>
  <si>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</si>
  <si>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</si>
  <si>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</si>
  <si>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</si>
  <si>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</si>
  <si>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</si>
  <si>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</si>
  <si>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</si>
  <si>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</si>
  <si>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</si>
  <si>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</si>
  <si>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</si>
  <si>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</si>
  <si>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</si>
  <si>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</si>
  <si>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</si>
  <si>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</si>
  <si>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</si>
  <si>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</si>
  <si>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</si>
  <si>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</si>
  <si>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</si>
  <si>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</si>
  <si>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</si>
  <si>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</si>
  <si>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</si>
  <si>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</si>
  <si>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</si>
  <si>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</si>
  <si>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</si>
  <si>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</si>
  <si>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</si>
  <si>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</si>
  <si>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</si>
  <si>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</si>
  <si>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</si>
  <si>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</si>
  <si>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</si>
  <si>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</si>
  <si>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</si>
  <si>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</si>
  <si>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</si>
  <si>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</si>
  <si>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</si>
  <si>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</si>
  <si>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</si>
  <si>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</si>
  <si>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</si>
  <si>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</si>
  <si>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</si>
  <si>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</si>
  <si>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</si>
  <si>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</si>
  <si>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</si>
  <si>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</si>
  <si>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</si>
  <si>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</si>
  <si>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</si>
  <si>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</si>
  <si>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</si>
  <si>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</si>
  <si>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</si>
  <si>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</si>
  <si>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</si>
  <si>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</si>
  <si>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</si>
  <si>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</si>
  <si>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</si>
  <si>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</si>
  <si>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</si>
  <si>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</si>
  <si>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</si>
  <si>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</si>
  <si>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</si>
  <si>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</si>
  <si>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</si>
  <si>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</si>
  <si>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</si>
  <si>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</si>
  <si>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</si>
  <si>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</si>
  <si>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</si>
  <si>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</si>
  <si>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</si>
  <si>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</si>
  <si>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</si>
  <si>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</si>
  <si>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</si>
  <si>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</si>
  <si>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</si>
  <si>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</si>
  <si>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</si>
  <si>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</si>
  <si>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</si>
  <si>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</si>
  <si>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</si>
  <si>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</si>
  <si>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</si>
  <si>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</si>
  <si>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</si>
  <si>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</si>
  <si>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</si>
  <si>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</si>
  <si>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</si>
  <si>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</si>
  <si>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</si>
  <si>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</si>
  <si>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</si>
  <si>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</si>
  <si>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</si>
  <si>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</si>
  <si>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</si>
  <si>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</si>
  <si>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</si>
  <si>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</si>
  <si>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</si>
  <si>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</si>
  <si>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</si>
  <si>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</si>
  <si>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</si>
  <si>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</si>
  <si>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</si>
  <si>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</si>
  <si>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</si>
  <si>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</si>
  <si>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</si>
  <si>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</si>
  <si>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</si>
  <si>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</si>
  <si>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</si>
  <si>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</si>
  <si>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</si>
  <si>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</si>
  <si>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</si>
  <si>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</si>
  <si>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</si>
  <si>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</si>
  <si>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</si>
  <si>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</si>
  <si>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</si>
  <si>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</si>
  <si>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</si>
  <si>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</si>
  <si>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</si>
  <si>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</si>
  <si>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</si>
  <si>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</si>
  <si>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</si>
  <si>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</si>
  <si>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</si>
  <si>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</si>
  <si>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</si>
  <si>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</si>
  <si>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</si>
  <si>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</si>
  <si>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</si>
  <si>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</si>
  <si>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</si>
  <si>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</si>
  <si>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</si>
  <si>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</si>
  <si>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</si>
  <si>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</si>
  <si>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</si>
  <si>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</si>
  <si>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</si>
  <si>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</si>
  <si>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</si>
  <si>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</si>
  <si>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</si>
  <si>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</si>
  <si>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</si>
  <si>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</si>
  <si>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</si>
  <si>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</si>
  <si>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</si>
  <si>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</si>
  <si>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</si>
  <si>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</si>
  <si>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</si>
  <si>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</si>
  <si>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</si>
  <si>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</si>
  <si>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</si>
  <si>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</si>
  <si>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</si>
  <si>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</si>
  <si>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</si>
  <si>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</si>
  <si>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</si>
  <si>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</si>
  <si>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</si>
  <si>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</si>
  <si>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</si>
  <si>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</si>
  <si>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</si>
  <si>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</si>
  <si>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</si>
  <si>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</si>
  <si>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</si>
  <si>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</si>
  <si>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</si>
  <si>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</si>
  <si>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</si>
  <si>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</si>
  <si>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</si>
  <si>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</si>
  <si>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</si>
  <si>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</si>
  <si>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</si>
  <si>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</si>
  <si>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</si>
  <si>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</si>
  <si>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</si>
  <si>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</si>
  <si>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</si>
  <si>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</si>
  <si>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</si>
  <si>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</si>
  <si>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</si>
  <si>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</si>
  <si>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</si>
  <si>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</si>
  <si>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</si>
  <si>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</si>
  <si>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</si>
  <si>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</si>
  <si>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</si>
  <si>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</si>
  <si>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</si>
  <si>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</si>
  <si>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</si>
  <si>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</si>
  <si>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</si>
  <si>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</si>
  <si>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</si>
  <si>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</si>
  <si>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</si>
  <si>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</si>
  <si>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</si>
  <si>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</si>
  <si>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</si>
  <si>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</si>
  <si>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</si>
  <si>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</si>
  <si>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</si>
  <si>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</si>
  <si>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</si>
  <si>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</si>
  <si>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</si>
  <si>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</si>
  <si>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</si>
  <si>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</si>
  <si>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</si>
  <si>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</si>
  <si>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</si>
  <si>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</si>
  <si>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</si>
  <si>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</si>
  <si>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</si>
  <si>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</si>
  <si>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</si>
  <si>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</si>
  <si>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</si>
  <si>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</si>
  <si>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</si>
  <si>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</si>
  <si>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</si>
  <si>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</si>
  <si>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</si>
  <si>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</si>
  <si>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</si>
  <si>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</si>
  <si>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</si>
  <si>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</si>
  <si>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</si>
  <si>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</si>
  <si>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</si>
  <si>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</si>
  <si>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</si>
  <si>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</si>
  <si>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</si>
  <si>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</si>
  <si>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</si>
  <si>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</si>
  <si>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</si>
  <si>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</si>
  <si>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</si>
  <si>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</si>
  <si>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</si>
  <si>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</si>
  <si>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</si>
  <si>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</si>
  <si>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</si>
  <si>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</si>
  <si>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</si>
  <si>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</si>
  <si>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</si>
  <si>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</si>
  <si>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</si>
  <si>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</si>
  <si>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</si>
  <si>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</si>
  <si>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</si>
  <si>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Average of Total Value</t>
  </si>
  <si>
    <t>Count of Auto Renewal</t>
  </si>
  <si>
    <t>Sum of Coupon Value</t>
  </si>
  <si>
    <t>KPI - Auto renewal</t>
  </si>
  <si>
    <t>Auto Renewal Rate</t>
  </si>
  <si>
    <t>Average ticket</t>
  </si>
  <si>
    <t>Total Revenue</t>
  </si>
  <si>
    <t>jan</t>
  </si>
  <si>
    <t>fev</t>
  </si>
  <si>
    <t>mar</t>
  </si>
  <si>
    <t>abr</t>
  </si>
  <si>
    <t>mai</t>
  </si>
  <si>
    <t>jun</t>
  </si>
  <si>
    <t>jul</t>
  </si>
  <si>
    <t>ago</t>
  </si>
  <si>
    <t>set</t>
  </si>
  <si>
    <t>out</t>
  </si>
  <si>
    <t>nov</t>
  </si>
  <si>
    <t>dez</t>
  </si>
  <si>
    <t>Month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</si>
</sst>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5"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11"/>
      <color theme="1"/>
      <name val="Segoe UI"/>
      <family val="2"/>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2">
    <border>
      <left/>
      <right/>
      <top/>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44" fontId="2" fillId="0" borderId="0" applyFont="0" applyFill="0" applyBorder="0" applyAlignment="0" applyProtection="0"/>
    <xf numFmtId="9" fontId="2" fillId="0" borderId="0" applyFont="0" applyFill="0" applyBorder="0" applyAlignment="0" applyProtection="0"/>
  </cellStyleXfs>
  <cellXfs count="19">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4" fillId="7" borderId="0" xfId="0" applyFont="1" applyFill="1"/>
    <xf numFmtId="44" fontId="4" fillId="7" borderId="0" xfId="2" applyFont="1" applyFill="1"/>
    <xf numFmtId="9" fontId="4" fillId="7" borderId="0" xfId="3" applyFont="1" applyFill="1"/>
  </cellXfs>
  <cellStyles count="4">
    <cellStyle name="Currency" xfId="2" builtinId="4"/>
    <cellStyle name="Heading 1" xfId="1" builtinId="16"/>
    <cellStyle name="Normal" xfId="0" builtinId="0"/>
    <cellStyle name="Percent" xfId="3" builtinId="5"/>
  </cellStyles>
  <dxfs count="28">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E8E6E9"/>
      <color rgb="FF22C55E"/>
      <color rgb="FF5BF6A8"/>
      <color rgb="FF000000"/>
      <color rgb="FFE0E0E0"/>
      <color rgb="FFEDEDED"/>
      <color rgb="FFF7F8FC"/>
      <color rgb="FF2AE6B1"/>
      <color rgb="FF9BC848"/>
      <color rgb="FFE700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Auto Renewal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51-46DD-83D2-B3036D16A9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51-46DD-83D2-B3036D16A95B}"/>
              </c:ext>
            </c:extLst>
          </c:dPt>
          <c:cat>
            <c:strRef>
              <c:f>C̳álculos!$F$13:$F$14</c:f>
              <c:strCache>
                <c:ptCount val="2"/>
                <c:pt idx="0">
                  <c:v>No</c:v>
                </c:pt>
                <c:pt idx="1">
                  <c:v>Yes</c:v>
                </c:pt>
              </c:strCache>
            </c:strRef>
          </c:cat>
          <c:val>
            <c:numRef>
              <c:f>C̳álculos!$G$13:$G$14</c:f>
              <c:numCache>
                <c:formatCode>General</c:formatCode>
                <c:ptCount val="2"/>
                <c:pt idx="0">
                  <c:v>11</c:v>
                </c:pt>
                <c:pt idx="1">
                  <c:v>60</c:v>
                </c:pt>
              </c:numCache>
            </c:numRef>
          </c:val>
          <c:extLst>
            <c:ext xmlns:c16="http://schemas.microsoft.com/office/drawing/2014/chart" uri="{C3380CC4-5D6E-409C-BE32-E72D297353CC}">
              <c16:uniqueId val="{00000004-FA51-46DD-83D2-B3036D16A9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t-BR"/>
              <a:t>Sum of total value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t-BR"/>
        </a:p>
      </c:txPr>
    </c:title>
    <c:autoTitleDeleted val="0"/>
    <c:plotArea>
      <c:layout/>
      <c:scatterChart>
        <c:scatterStyle val="smoothMarker"/>
        <c:varyColors val="0"/>
        <c:ser>
          <c:idx val="0"/>
          <c:order val="0"/>
          <c:spPr>
            <a:ln w="22225" cap="rnd">
              <a:solidFill>
                <a:schemeClr val="accent1"/>
              </a:solidFill>
              <a:round/>
            </a:ln>
            <a:effectLst/>
          </c:spPr>
          <c:marker>
            <c:symbol val="none"/>
          </c:marker>
          <c:xVal>
            <c:strRef>
              <c:f>C̳álculos!$E$18:$E$29</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xVal>
          <c:yVal>
            <c:numRef>
              <c:f>C̳álculos!$F$18:$F$29</c:f>
              <c:numCache>
                <c:formatCode>General</c:formatCode>
                <c:ptCount val="12"/>
                <c:pt idx="0">
                  <c:v>65</c:v>
                </c:pt>
                <c:pt idx="1">
                  <c:v>82</c:v>
                </c:pt>
                <c:pt idx="2">
                  <c:v>801</c:v>
                </c:pt>
                <c:pt idx="3">
                  <c:v>782</c:v>
                </c:pt>
                <c:pt idx="4">
                  <c:v>777</c:v>
                </c:pt>
                <c:pt idx="5">
                  <c:v>770</c:v>
                </c:pt>
                <c:pt idx="6">
                  <c:v>784</c:v>
                </c:pt>
                <c:pt idx="7">
                  <c:v>787</c:v>
                </c:pt>
                <c:pt idx="8">
                  <c:v>780</c:v>
                </c:pt>
                <c:pt idx="9">
                  <c:v>832</c:v>
                </c:pt>
                <c:pt idx="10">
                  <c:v>784</c:v>
                </c:pt>
                <c:pt idx="11">
                  <c:v>389</c:v>
                </c:pt>
              </c:numCache>
            </c:numRef>
          </c:yVal>
          <c:smooth val="1"/>
          <c:extLst>
            <c:ext xmlns:c16="http://schemas.microsoft.com/office/drawing/2014/chart" uri="{C3380CC4-5D6E-409C-BE32-E72D297353CC}">
              <c16:uniqueId val="{00000000-9D4B-460C-9B3B-D742413B3293}"/>
            </c:ext>
          </c:extLst>
        </c:ser>
        <c:dLbls>
          <c:showLegendKey val="0"/>
          <c:showVal val="0"/>
          <c:showCatName val="0"/>
          <c:showSerName val="0"/>
          <c:showPercent val="0"/>
          <c:showBubbleSize val="0"/>
        </c:dLbls>
        <c:axId val="1222862703"/>
        <c:axId val="1222859823"/>
      </c:scatterChart>
      <c:valAx>
        <c:axId val="122286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22859823"/>
        <c:crosses val="autoZero"/>
        <c:crossBetween val="midCat"/>
      </c:valAx>
      <c:valAx>
        <c:axId val="122285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228627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2958465"/>
          <a:ext cx="2886075" cy="9841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8545" y="5251449"/>
          <a:ext cx="1545666" cy="72834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2540</xdr:colOff>
      <xdr:row>2</xdr:row>
      <xdr:rowOff>79101</xdr:rowOff>
    </xdr:to>
    <xdr:pic>
      <xdr:nvPicPr>
        <xdr:cNvPr id="2" name="Imagem 4">
          <a:extLst>
            <a:ext uri="{FF2B5EF4-FFF2-40B4-BE49-F238E27FC236}">
              <a16:creationId xmlns:a16="http://schemas.microsoft.com/office/drawing/2014/main" id="{4345C1C8-AF63-48C4-9ECC-4D2FDEE36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14563" cy="763949"/>
        </a:xfrm>
        <a:prstGeom prst="rect">
          <a:avLst/>
        </a:prstGeom>
      </xdr:spPr>
    </xdr:pic>
    <xdr:clientData/>
  </xdr:twoCellAnchor>
  <xdr:twoCellAnchor>
    <xdr:from>
      <xdr:col>11</xdr:col>
      <xdr:colOff>117792</xdr:colOff>
      <xdr:row>5</xdr:row>
      <xdr:rowOff>72979</xdr:rowOff>
    </xdr:from>
    <xdr:to>
      <xdr:col>17</xdr:col>
      <xdr:colOff>263889</xdr:colOff>
      <xdr:row>16</xdr:row>
      <xdr:rowOff>78922</xdr:rowOff>
    </xdr:to>
    <xdr:grpSp>
      <xdr:nvGrpSpPr>
        <xdr:cNvPr id="13" name="Group 12">
          <a:extLst>
            <a:ext uri="{FF2B5EF4-FFF2-40B4-BE49-F238E27FC236}">
              <a16:creationId xmlns:a16="http://schemas.microsoft.com/office/drawing/2014/main" id="{1F1ABCBF-5B86-C313-34F0-7839B59327A7}"/>
            </a:ext>
          </a:extLst>
        </xdr:cNvPr>
        <xdr:cNvGrpSpPr/>
      </xdr:nvGrpSpPr>
      <xdr:grpSpPr>
        <a:xfrm>
          <a:off x="11709428" y="1227524"/>
          <a:ext cx="4267825" cy="2315034"/>
          <a:chOff x="4825863" y="1449296"/>
          <a:chExt cx="3791542" cy="2303373"/>
        </a:xfrm>
      </xdr:grpSpPr>
      <xdr:graphicFrame macro="">
        <xdr:nvGraphicFramePr>
          <xdr:cNvPr id="4" name="Chart 3">
            <a:extLst>
              <a:ext uri="{FF2B5EF4-FFF2-40B4-BE49-F238E27FC236}">
                <a16:creationId xmlns:a16="http://schemas.microsoft.com/office/drawing/2014/main" id="{998B8FD7-419C-4876-8FFD-C6A6214E79C6}"/>
              </a:ext>
            </a:extLst>
          </xdr:cNvPr>
          <xdr:cNvGraphicFramePr>
            <a:graphicFrameLocks/>
          </xdr:cNvGraphicFramePr>
        </xdr:nvGraphicFramePr>
        <xdr:xfrm>
          <a:off x="5622154" y="1449296"/>
          <a:ext cx="2995251" cy="2303373"/>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7" name="Straight Connector 6">
            <a:extLst>
              <a:ext uri="{FF2B5EF4-FFF2-40B4-BE49-F238E27FC236}">
                <a16:creationId xmlns:a16="http://schemas.microsoft.com/office/drawing/2014/main" id="{11423B9C-43CD-AFFD-5237-CA9D1E0EB489}"/>
              </a:ext>
            </a:extLst>
          </xdr:cNvPr>
          <xdr:cNvCxnSpPr/>
        </xdr:nvCxnSpPr>
        <xdr:spPr>
          <a:xfrm flipV="1">
            <a:off x="4832531" y="1466441"/>
            <a:ext cx="782955" cy="131835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0" name="Straight Connector 9">
            <a:extLst>
              <a:ext uri="{FF2B5EF4-FFF2-40B4-BE49-F238E27FC236}">
                <a16:creationId xmlns:a16="http://schemas.microsoft.com/office/drawing/2014/main" id="{5D6BF877-17DA-E6D0-705D-8F5BAA7D2FE5}"/>
              </a:ext>
            </a:extLst>
          </xdr:cNvPr>
          <xdr:cNvCxnSpPr/>
        </xdr:nvCxnSpPr>
        <xdr:spPr>
          <a:xfrm>
            <a:off x="4825863" y="2773997"/>
            <a:ext cx="797484" cy="950294"/>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415637</xdr:colOff>
      <xdr:row>4</xdr:row>
      <xdr:rowOff>85766</xdr:rowOff>
    </xdr:from>
    <xdr:to>
      <xdr:col>5</xdr:col>
      <xdr:colOff>1942672</xdr:colOff>
      <xdr:row>18</xdr:row>
      <xdr:rowOff>8840</xdr:rowOff>
    </xdr:to>
    <xdr:graphicFrame macro="">
      <xdr:nvGraphicFramePr>
        <xdr:cNvPr id="14" name="Chart 13">
          <a:extLst>
            <a:ext uri="{FF2B5EF4-FFF2-40B4-BE49-F238E27FC236}">
              <a16:creationId xmlns:a16="http://schemas.microsoft.com/office/drawing/2014/main" id="{330660E3-5AF5-409C-900F-B9138FC8C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101369</xdr:colOff>
      <xdr:row>5</xdr:row>
      <xdr:rowOff>30711</xdr:rowOff>
    </xdr:from>
    <xdr:to>
      <xdr:col>8</xdr:col>
      <xdr:colOff>994065</xdr:colOff>
      <xdr:row>10</xdr:row>
      <xdr:rowOff>162102</xdr:rowOff>
    </xdr:to>
    <mc:AlternateContent xmlns:mc="http://schemas.openxmlformats.org/markup-compatibility/2006">
      <mc:Choice xmlns:a14="http://schemas.microsoft.com/office/drawing/2010/main" Requires="a14">
        <xdr:graphicFrame macro="">
          <xdr:nvGraphicFramePr>
            <xdr:cNvPr id="15" name="Subscription Type 1">
              <a:extLst>
                <a:ext uri="{FF2B5EF4-FFF2-40B4-BE49-F238E27FC236}">
                  <a16:creationId xmlns:a16="http://schemas.microsoft.com/office/drawing/2014/main" id="{67B15CFF-04CB-415D-BA75-9F5019B56E37}"/>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dr:sp macro="" textlink="">
          <xdr:nvSpPr>
            <xdr:cNvPr id="0" name=""/>
            <xdr:cNvSpPr>
              <a:spLocks noTextEdit="1"/>
            </xdr:cNvSpPr>
          </xdr:nvSpPr>
          <xdr:spPr>
            <a:xfrm>
              <a:off x="7204364" y="1186526"/>
              <a:ext cx="2113974" cy="1191033"/>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ilherme" refreshedDate="46159.645839814817" createdVersion="8" refreshedVersion="8" minRefreshableVersion="3" recordCount="296" xr:uid="{565C03BE-450C-40E0-944C-66154C99F4B0}">
  <cacheSource type="worksheet">
    <worksheetSource ref="A1:M1048576" sheet="B̳ases"/>
  </cacheSource>
  <cacheFields count="13">
    <cacheField name="Subscriber ID" numFmtId="0">
      <sharedItems containsString="0" containsBlank="1" containsNumber="1" containsInteger="1" minValue="3231" maxValue="3525" count="296">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m/>
      </sharedItems>
    </cacheField>
    <cacheField name="Name" numFmtId="0">
      <sharedItems containsBlank="1" count="281">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m/>
      </sharedItems>
    </cacheField>
    <cacheField name="Plan" numFmtId="0">
      <sharedItems containsBlank="1"/>
    </cacheField>
    <cacheField name="Start Date" numFmtId="0">
      <sharedItems containsNonDate="0" containsDate="1" containsString="0" containsBlank="1" minDate="2024-01-01T00:00:00" maxDate="2024-12-17T00:00:00"/>
    </cacheField>
    <cacheField name="Auto Renewal" numFmtId="0">
      <sharedItems containsBlank="1" count="3">
        <s v="Yes"/>
        <s v="No"/>
        <m/>
      </sharedItems>
    </cacheField>
    <cacheField name="Subscription Price" numFmtId="0">
      <sharedItems containsString="0" containsBlank="1" containsNumber="1" containsInteger="1" minValue="5" maxValue="15"/>
    </cacheField>
    <cacheField name="Subscription Type" numFmtId="0">
      <sharedItems containsBlank="1" count="4">
        <s v="Monthly"/>
        <s v="Annual"/>
        <s v="Quarterly"/>
        <m/>
      </sharedItems>
    </cacheField>
    <cacheField name="EA Play Season Pass" numFmtId="0">
      <sharedItems containsBlank="1"/>
    </cacheField>
    <cacheField name="EA Play Season Pass_x000a_Price" numFmtId="0">
      <sharedItems containsBlank="1" containsMixedTypes="1" containsNumber="1" containsInteger="1" minValue="30" maxValue="30"/>
    </cacheField>
    <cacheField name="Minecraft Season Pass" numFmtId="0">
      <sharedItems containsBlank="1"/>
    </cacheField>
    <cacheField name="Minecraft Season Pass Price" numFmtId="0">
      <sharedItems containsString="0" containsBlank="1" containsNumber="1" containsInteger="1" minValue="0" maxValue="20"/>
    </cacheField>
    <cacheField name="Coupon Value" numFmtId="0">
      <sharedItems containsString="0" containsBlank="1" containsNumber="1" containsInteger="1" minValue="0" maxValue="20"/>
    </cacheField>
    <cacheField name="Total Value" numFmtId="0">
      <sharedItems containsString="0" containsBlank="1" containsNumber="1" containsInteger="1" minValue="3" maxValue="62" count="16">
        <n v="60"/>
        <n v="5"/>
        <n v="20"/>
        <n v="62"/>
        <n v="4"/>
        <n v="28"/>
        <n v="55"/>
        <n v="15"/>
        <n v="45"/>
        <n v="57"/>
        <n v="18"/>
        <n v="3"/>
        <n v="58"/>
        <n v="25"/>
        <n v="50"/>
        <m/>
      </sharedItems>
    </cacheField>
  </cacheFields>
  <extLst>
    <ext xmlns:x14="http://schemas.microsoft.com/office/spreadsheetml/2009/9/main" uri="{725AE2AE-9491-48be-B2B4-4EB974FC3084}">
      <x14:pivotCacheDefinition pivotCacheId="11560287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ilherme" refreshedDate="46159.679838194446" createdVersion="8" refreshedVersion="8" minRefreshableVersion="3" recordCount="295" xr:uid="{6A387D50-7D9F-49D4-AF4B-10E5FCD64852}">
  <cacheSource type="worksheet">
    <worksheetSource name="Tabela1"/>
  </cacheSource>
  <cacheFields count="15">
    <cacheField name="Subscriber ID" numFmtId="0">
      <sharedItems containsSemiMixedTypes="0" containsString="0" containsNumber="1" containsInteger="1" minValue="3231" maxValue="3525"/>
    </cacheField>
    <cacheField name="Name" numFmtId="0">
      <sharedItems/>
    </cacheField>
    <cacheField name="Plan" numFmtId="0">
      <sharedItems/>
    </cacheField>
    <cacheField name="Start Date" numFmtId="14">
      <sharedItems containsSemiMixedTypes="0" containsNonDate="0" containsDate="1" containsString="0" minDate="2024-01-01T00:00:00" maxDate="2024-12-17T00:00:00" count="294">
        <d v="2024-01-01T00:00:00"/>
        <d v="2024-01-15T00:00:00"/>
        <d v="2024-02-10T00:00:00"/>
        <d v="2024-02-20T00:00:00"/>
        <d v="2024-03-05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sharedItems>
      <fieldGroup par="14"/>
    </cacheField>
    <cacheField name="Auto Renewal" numFmtId="0">
      <sharedItems/>
    </cacheField>
    <cacheField name="Subscription Price" numFmtId="44">
      <sharedItems containsSemiMixedTypes="0" containsString="0" containsNumber="1" containsInteger="1" minValue="5" maxValue="15"/>
    </cacheField>
    <cacheField name="Subscription Type" numFmtId="0">
      <sharedItems/>
    </cacheField>
    <cacheField name="EA Play Season Pass" numFmtId="0">
      <sharedItems/>
    </cacheField>
    <cacheField name="EA Play Season Pass_x000a_Price" numFmtId="44">
      <sharedItems containsMixedTypes="1" containsNumber="1" containsInteger="1" minValue="30" maxValue="30"/>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 name="Days (Start Date)" numFmtId="0" databaseField="0">
      <fieldGroup base="3">
        <rangePr groupBy="days" startDate="2024-01-01T00:00:00" endDate="2024-12-1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7/12/2024"/>
        </groupItems>
      </fieldGroup>
    </cacheField>
    <cacheField name="Months (Start Date)" numFmtId="0" databaseField="0">
      <fieldGroup base="3">
        <rangePr groupBy="months" startDate="2024-01-01T00:00:00" endDate="2024-12-17T00:00:00"/>
        <groupItems count="14">
          <s v="&lt;01/01/2024"/>
          <s v="jan"/>
          <s v="fev"/>
          <s v="mar"/>
          <s v="abr"/>
          <s v="mai"/>
          <s v="jun"/>
          <s v="jul"/>
          <s v="ago"/>
          <s v="set"/>
          <s v="out"/>
          <s v="nov"/>
          <s v="dez"/>
          <s v="&gt;17/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x v="0"/>
    <x v="0"/>
    <s v="Ultimate"/>
    <d v="2024-01-01T00:00:00"/>
    <x v="0"/>
    <n v="15"/>
    <x v="0"/>
    <s v="Yes"/>
    <n v="30"/>
    <s v="Yes"/>
    <n v="20"/>
    <n v="5"/>
    <x v="0"/>
  </r>
  <r>
    <x v="1"/>
    <x v="1"/>
    <s v="Core"/>
    <d v="2024-01-15T00:00:00"/>
    <x v="1"/>
    <n v="5"/>
    <x v="1"/>
    <s v="No"/>
    <s v="-"/>
    <s v="No"/>
    <n v="0"/>
    <n v="0"/>
    <x v="1"/>
  </r>
  <r>
    <x v="2"/>
    <x v="2"/>
    <s v="Standard"/>
    <d v="2024-02-10T00:00:00"/>
    <x v="0"/>
    <n v="10"/>
    <x v="2"/>
    <s v="No"/>
    <s v="-"/>
    <s v="Yes"/>
    <n v="20"/>
    <n v="10"/>
    <x v="2"/>
  </r>
  <r>
    <x v="3"/>
    <x v="3"/>
    <s v="Ultimate"/>
    <d v="2024-02-20T00:00:00"/>
    <x v="1"/>
    <n v="15"/>
    <x v="0"/>
    <s v="Yes"/>
    <n v="30"/>
    <s v="Yes"/>
    <n v="20"/>
    <n v="3"/>
    <x v="3"/>
  </r>
  <r>
    <x v="4"/>
    <x v="4"/>
    <s v="Core"/>
    <d v="2024-03-05T00:00:00"/>
    <x v="0"/>
    <n v="5"/>
    <x v="0"/>
    <s v="No"/>
    <s v="-"/>
    <s v="No"/>
    <n v="0"/>
    <n v="1"/>
    <x v="4"/>
  </r>
  <r>
    <x v="5"/>
    <x v="5"/>
    <s v="Standard"/>
    <d v="2024-03-02T00:00:00"/>
    <x v="1"/>
    <n v="10"/>
    <x v="0"/>
    <s v="No"/>
    <s v="-"/>
    <s v="Yes"/>
    <n v="20"/>
    <n v="2"/>
    <x v="5"/>
  </r>
  <r>
    <x v="6"/>
    <x v="6"/>
    <s v="Ultimate"/>
    <d v="2024-03-03T00:00:00"/>
    <x v="0"/>
    <n v="15"/>
    <x v="2"/>
    <s v="Yes"/>
    <n v="30"/>
    <s v="Yes"/>
    <n v="20"/>
    <n v="10"/>
    <x v="6"/>
  </r>
  <r>
    <x v="7"/>
    <x v="7"/>
    <s v="Core"/>
    <d v="2024-03-04T00:00:00"/>
    <x v="0"/>
    <n v="5"/>
    <x v="1"/>
    <s v="No"/>
    <s v="-"/>
    <s v="No"/>
    <n v="0"/>
    <n v="0"/>
    <x v="1"/>
  </r>
  <r>
    <x v="8"/>
    <x v="8"/>
    <s v="Ultimate"/>
    <d v="2024-03-05T00:00:00"/>
    <x v="1"/>
    <n v="15"/>
    <x v="0"/>
    <s v="Yes"/>
    <n v="30"/>
    <s v="Yes"/>
    <n v="20"/>
    <n v="5"/>
    <x v="0"/>
  </r>
  <r>
    <x v="9"/>
    <x v="9"/>
    <s v="Standard"/>
    <d v="2024-03-06T00:00:00"/>
    <x v="0"/>
    <n v="10"/>
    <x v="2"/>
    <s v="No"/>
    <s v="-"/>
    <s v="Yes"/>
    <n v="20"/>
    <n v="15"/>
    <x v="7"/>
  </r>
  <r>
    <x v="10"/>
    <x v="10"/>
    <s v="Core"/>
    <d v="2024-03-07T00:00:00"/>
    <x v="1"/>
    <n v="5"/>
    <x v="0"/>
    <s v="No"/>
    <s v="-"/>
    <s v="No"/>
    <n v="0"/>
    <n v="1"/>
    <x v="4"/>
  </r>
  <r>
    <x v="11"/>
    <x v="11"/>
    <s v="Ultimate"/>
    <d v="2024-03-08T00:00:00"/>
    <x v="0"/>
    <n v="15"/>
    <x v="1"/>
    <s v="Yes"/>
    <n v="30"/>
    <s v="Yes"/>
    <n v="20"/>
    <n v="20"/>
    <x v="8"/>
  </r>
  <r>
    <x v="12"/>
    <x v="12"/>
    <s v="Standard"/>
    <d v="2024-03-09T00:00:00"/>
    <x v="1"/>
    <n v="10"/>
    <x v="0"/>
    <s v="No"/>
    <s v="-"/>
    <s v="Yes"/>
    <n v="20"/>
    <n v="10"/>
    <x v="2"/>
  </r>
  <r>
    <x v="13"/>
    <x v="13"/>
    <s v="Core"/>
    <d v="2024-03-10T00:00:00"/>
    <x v="0"/>
    <n v="5"/>
    <x v="2"/>
    <s v="No"/>
    <s v="-"/>
    <s v="No"/>
    <n v="0"/>
    <n v="0"/>
    <x v="1"/>
  </r>
  <r>
    <x v="14"/>
    <x v="14"/>
    <s v="Ultimate"/>
    <d v="2024-03-11T00:00:00"/>
    <x v="1"/>
    <n v="15"/>
    <x v="0"/>
    <s v="Yes"/>
    <n v="30"/>
    <s v="Yes"/>
    <n v="20"/>
    <n v="8"/>
    <x v="9"/>
  </r>
  <r>
    <x v="15"/>
    <x v="15"/>
    <s v="Standard"/>
    <d v="2024-03-12T00:00:00"/>
    <x v="0"/>
    <n v="10"/>
    <x v="1"/>
    <s v="No"/>
    <s v="-"/>
    <s v="Yes"/>
    <n v="20"/>
    <n v="12"/>
    <x v="10"/>
  </r>
  <r>
    <x v="16"/>
    <x v="16"/>
    <s v="Core"/>
    <d v="2024-03-13T00:00:00"/>
    <x v="1"/>
    <n v="5"/>
    <x v="0"/>
    <s v="No"/>
    <s v="-"/>
    <s v="No"/>
    <n v="0"/>
    <n v="2"/>
    <x v="11"/>
  </r>
  <r>
    <x v="17"/>
    <x v="17"/>
    <s v="Ultimate"/>
    <d v="2024-03-14T00:00:00"/>
    <x v="0"/>
    <n v="15"/>
    <x v="2"/>
    <s v="Yes"/>
    <n v="30"/>
    <s v="Yes"/>
    <n v="20"/>
    <n v="7"/>
    <x v="12"/>
  </r>
  <r>
    <x v="18"/>
    <x v="18"/>
    <s v="Standard"/>
    <d v="2024-03-15T00:00:00"/>
    <x v="1"/>
    <n v="10"/>
    <x v="0"/>
    <s v="No"/>
    <s v="-"/>
    <s v="Yes"/>
    <n v="20"/>
    <n v="5"/>
    <x v="13"/>
  </r>
  <r>
    <x v="19"/>
    <x v="19"/>
    <s v="Core"/>
    <d v="2024-03-16T00:00:00"/>
    <x v="0"/>
    <n v="5"/>
    <x v="1"/>
    <s v="No"/>
    <s v="-"/>
    <s v="No"/>
    <n v="0"/>
    <n v="0"/>
    <x v="1"/>
  </r>
  <r>
    <x v="20"/>
    <x v="20"/>
    <s v="Ultimate"/>
    <d v="2024-03-17T00:00:00"/>
    <x v="1"/>
    <n v="15"/>
    <x v="0"/>
    <s v="Yes"/>
    <n v="30"/>
    <s v="Yes"/>
    <n v="20"/>
    <n v="3"/>
    <x v="3"/>
  </r>
  <r>
    <x v="21"/>
    <x v="21"/>
    <s v="Standard"/>
    <d v="2024-03-18T00:00:00"/>
    <x v="0"/>
    <n v="10"/>
    <x v="2"/>
    <s v="No"/>
    <s v="-"/>
    <s v="Yes"/>
    <n v="20"/>
    <n v="15"/>
    <x v="7"/>
  </r>
  <r>
    <x v="22"/>
    <x v="22"/>
    <s v="Core"/>
    <d v="2024-03-19T00:00:00"/>
    <x v="1"/>
    <n v="5"/>
    <x v="0"/>
    <s v="No"/>
    <s v="-"/>
    <s v="No"/>
    <n v="0"/>
    <n v="1"/>
    <x v="4"/>
  </r>
  <r>
    <x v="23"/>
    <x v="23"/>
    <s v="Ultimate"/>
    <d v="2024-03-20T00:00:00"/>
    <x v="0"/>
    <n v="15"/>
    <x v="1"/>
    <s v="Yes"/>
    <n v="30"/>
    <s v="Yes"/>
    <n v="20"/>
    <n v="20"/>
    <x v="8"/>
  </r>
  <r>
    <x v="24"/>
    <x v="24"/>
    <s v="Standard"/>
    <d v="2024-03-21T00:00:00"/>
    <x v="1"/>
    <n v="10"/>
    <x v="0"/>
    <s v="No"/>
    <s v="-"/>
    <s v="Yes"/>
    <n v="20"/>
    <n v="10"/>
    <x v="2"/>
  </r>
  <r>
    <x v="25"/>
    <x v="25"/>
    <s v="Core"/>
    <d v="2024-03-22T00:00:00"/>
    <x v="0"/>
    <n v="5"/>
    <x v="2"/>
    <s v="No"/>
    <s v="-"/>
    <s v="No"/>
    <n v="0"/>
    <n v="0"/>
    <x v="1"/>
  </r>
  <r>
    <x v="26"/>
    <x v="26"/>
    <s v="Ultimate"/>
    <d v="2024-03-23T00:00:00"/>
    <x v="1"/>
    <n v="15"/>
    <x v="0"/>
    <s v="Yes"/>
    <n v="30"/>
    <s v="Yes"/>
    <n v="20"/>
    <n v="5"/>
    <x v="0"/>
  </r>
  <r>
    <x v="27"/>
    <x v="27"/>
    <s v="Standard"/>
    <d v="2024-03-24T00:00:00"/>
    <x v="0"/>
    <n v="10"/>
    <x v="1"/>
    <s v="No"/>
    <s v="-"/>
    <s v="Yes"/>
    <n v="20"/>
    <n v="15"/>
    <x v="7"/>
  </r>
  <r>
    <x v="28"/>
    <x v="28"/>
    <s v="Core"/>
    <d v="2024-03-25T00:00:00"/>
    <x v="1"/>
    <n v="5"/>
    <x v="0"/>
    <s v="No"/>
    <s v="-"/>
    <s v="No"/>
    <n v="0"/>
    <n v="1"/>
    <x v="4"/>
  </r>
  <r>
    <x v="29"/>
    <x v="29"/>
    <s v="Ultimate"/>
    <d v="2024-03-26T00:00:00"/>
    <x v="0"/>
    <n v="15"/>
    <x v="2"/>
    <s v="Yes"/>
    <n v="30"/>
    <s v="Yes"/>
    <n v="20"/>
    <n v="7"/>
    <x v="12"/>
  </r>
  <r>
    <x v="30"/>
    <x v="30"/>
    <s v="Standard"/>
    <d v="2024-03-27T00:00:00"/>
    <x v="1"/>
    <n v="10"/>
    <x v="0"/>
    <s v="No"/>
    <s v="-"/>
    <s v="Yes"/>
    <n v="20"/>
    <n v="10"/>
    <x v="2"/>
  </r>
  <r>
    <x v="31"/>
    <x v="31"/>
    <s v="Core"/>
    <d v="2024-03-28T00:00:00"/>
    <x v="0"/>
    <n v="5"/>
    <x v="1"/>
    <s v="No"/>
    <s v="-"/>
    <s v="No"/>
    <n v="0"/>
    <n v="0"/>
    <x v="1"/>
  </r>
  <r>
    <x v="32"/>
    <x v="32"/>
    <s v="Ultimate"/>
    <d v="2024-03-29T00:00:00"/>
    <x v="1"/>
    <n v="15"/>
    <x v="0"/>
    <s v="Yes"/>
    <n v="30"/>
    <s v="Yes"/>
    <n v="20"/>
    <n v="3"/>
    <x v="3"/>
  </r>
  <r>
    <x v="33"/>
    <x v="33"/>
    <s v="Standard"/>
    <d v="2024-03-30T00:00:00"/>
    <x v="0"/>
    <n v="10"/>
    <x v="2"/>
    <s v="No"/>
    <s v="-"/>
    <s v="Yes"/>
    <n v="20"/>
    <n v="15"/>
    <x v="7"/>
  </r>
  <r>
    <x v="34"/>
    <x v="34"/>
    <s v="Core"/>
    <d v="2024-03-31T00:00:00"/>
    <x v="1"/>
    <n v="5"/>
    <x v="0"/>
    <s v="No"/>
    <s v="-"/>
    <s v="No"/>
    <n v="0"/>
    <n v="1"/>
    <x v="4"/>
  </r>
  <r>
    <x v="35"/>
    <x v="35"/>
    <s v="Core"/>
    <d v="2024-04-01T00:00:00"/>
    <x v="0"/>
    <n v="5"/>
    <x v="0"/>
    <s v="No"/>
    <s v="-"/>
    <s v="No"/>
    <n v="0"/>
    <n v="0"/>
    <x v="1"/>
  </r>
  <r>
    <x v="36"/>
    <x v="36"/>
    <s v="Ultimate"/>
    <d v="2024-04-02T00:00:00"/>
    <x v="1"/>
    <n v="15"/>
    <x v="2"/>
    <s v="Yes"/>
    <n v="30"/>
    <s v="Yes"/>
    <n v="20"/>
    <n v="7"/>
    <x v="12"/>
  </r>
  <r>
    <x v="37"/>
    <x v="37"/>
    <s v="Standard"/>
    <d v="2024-04-03T00:00:00"/>
    <x v="0"/>
    <n v="10"/>
    <x v="1"/>
    <s v="No"/>
    <s v="-"/>
    <s v="Yes"/>
    <n v="20"/>
    <n v="10"/>
    <x v="2"/>
  </r>
  <r>
    <x v="38"/>
    <x v="38"/>
    <s v="Core"/>
    <d v="2024-04-04T00:00:00"/>
    <x v="1"/>
    <n v="5"/>
    <x v="2"/>
    <s v="No"/>
    <s v="-"/>
    <s v="No"/>
    <n v="0"/>
    <n v="1"/>
    <x v="4"/>
  </r>
  <r>
    <x v="39"/>
    <x v="39"/>
    <s v="Ultimate"/>
    <d v="2024-04-05T00:00:00"/>
    <x v="0"/>
    <n v="15"/>
    <x v="0"/>
    <s v="Yes"/>
    <n v="30"/>
    <s v="Yes"/>
    <n v="20"/>
    <n v="15"/>
    <x v="14"/>
  </r>
  <r>
    <x v="40"/>
    <x v="40"/>
    <s v="Standard"/>
    <d v="2024-04-06T00:00:00"/>
    <x v="1"/>
    <n v="10"/>
    <x v="0"/>
    <s v="No"/>
    <s v="-"/>
    <s v="Yes"/>
    <n v="20"/>
    <n v="5"/>
    <x v="13"/>
  </r>
  <r>
    <x v="41"/>
    <x v="41"/>
    <s v="Core"/>
    <d v="2024-04-07T00:00:00"/>
    <x v="0"/>
    <n v="5"/>
    <x v="1"/>
    <s v="No"/>
    <s v="-"/>
    <s v="No"/>
    <n v="0"/>
    <n v="0"/>
    <x v="1"/>
  </r>
  <r>
    <x v="42"/>
    <x v="42"/>
    <s v="Ultimate"/>
    <d v="2024-04-08T00:00:00"/>
    <x v="1"/>
    <n v="15"/>
    <x v="2"/>
    <s v="Yes"/>
    <n v="30"/>
    <s v="Yes"/>
    <n v="20"/>
    <n v="20"/>
    <x v="8"/>
  </r>
  <r>
    <x v="43"/>
    <x v="43"/>
    <s v="Standard"/>
    <d v="2024-04-09T00:00:00"/>
    <x v="0"/>
    <n v="10"/>
    <x v="2"/>
    <s v="No"/>
    <s v="-"/>
    <s v="Yes"/>
    <n v="20"/>
    <n v="12"/>
    <x v="10"/>
  </r>
  <r>
    <x v="44"/>
    <x v="44"/>
    <s v="Core"/>
    <d v="2024-04-10T00:00:00"/>
    <x v="1"/>
    <n v="5"/>
    <x v="0"/>
    <s v="No"/>
    <s v="-"/>
    <s v="No"/>
    <n v="0"/>
    <n v="2"/>
    <x v="11"/>
  </r>
  <r>
    <x v="45"/>
    <x v="45"/>
    <s v="Ultimate"/>
    <d v="2024-04-11T00:00:00"/>
    <x v="0"/>
    <n v="15"/>
    <x v="1"/>
    <s v="Yes"/>
    <n v="30"/>
    <s v="Yes"/>
    <n v="20"/>
    <n v="5"/>
    <x v="0"/>
  </r>
  <r>
    <x v="46"/>
    <x v="46"/>
    <s v="Standard"/>
    <d v="2024-04-12T00:00:00"/>
    <x v="1"/>
    <n v="10"/>
    <x v="0"/>
    <s v="No"/>
    <s v="-"/>
    <s v="Yes"/>
    <n v="20"/>
    <n v="10"/>
    <x v="2"/>
  </r>
  <r>
    <x v="47"/>
    <x v="47"/>
    <s v="Core"/>
    <d v="2024-04-13T00:00:00"/>
    <x v="0"/>
    <n v="5"/>
    <x v="2"/>
    <s v="No"/>
    <s v="-"/>
    <s v="No"/>
    <n v="0"/>
    <n v="0"/>
    <x v="1"/>
  </r>
  <r>
    <x v="48"/>
    <x v="48"/>
    <s v="Ultimate"/>
    <d v="2024-04-14T00:00:00"/>
    <x v="1"/>
    <n v="15"/>
    <x v="0"/>
    <s v="Yes"/>
    <n v="30"/>
    <s v="Yes"/>
    <n v="20"/>
    <n v="3"/>
    <x v="3"/>
  </r>
  <r>
    <x v="49"/>
    <x v="49"/>
    <s v="Standard"/>
    <d v="2024-04-15T00:00:00"/>
    <x v="0"/>
    <n v="10"/>
    <x v="1"/>
    <s v="No"/>
    <s v="-"/>
    <s v="Yes"/>
    <n v="20"/>
    <n v="15"/>
    <x v="7"/>
  </r>
  <r>
    <x v="50"/>
    <x v="50"/>
    <s v="Core"/>
    <d v="2024-04-16T00:00:00"/>
    <x v="1"/>
    <n v="5"/>
    <x v="0"/>
    <s v="No"/>
    <s v="-"/>
    <s v="No"/>
    <n v="0"/>
    <n v="1"/>
    <x v="4"/>
  </r>
  <r>
    <x v="51"/>
    <x v="51"/>
    <s v="Ultimate"/>
    <d v="2024-04-17T00:00:00"/>
    <x v="0"/>
    <n v="15"/>
    <x v="2"/>
    <s v="Yes"/>
    <n v="30"/>
    <s v="Yes"/>
    <n v="20"/>
    <n v="7"/>
    <x v="12"/>
  </r>
  <r>
    <x v="52"/>
    <x v="52"/>
    <s v="Standard"/>
    <d v="2024-04-18T00:00:00"/>
    <x v="1"/>
    <n v="10"/>
    <x v="0"/>
    <s v="No"/>
    <s v="-"/>
    <s v="Yes"/>
    <n v="20"/>
    <n v="10"/>
    <x v="2"/>
  </r>
  <r>
    <x v="53"/>
    <x v="53"/>
    <s v="Core"/>
    <d v="2024-04-19T00:00:00"/>
    <x v="0"/>
    <n v="5"/>
    <x v="1"/>
    <s v="No"/>
    <s v="-"/>
    <s v="No"/>
    <n v="0"/>
    <n v="0"/>
    <x v="1"/>
  </r>
  <r>
    <x v="54"/>
    <x v="54"/>
    <s v="Ultimate"/>
    <d v="2024-04-20T00:00:00"/>
    <x v="1"/>
    <n v="15"/>
    <x v="0"/>
    <s v="Yes"/>
    <n v="30"/>
    <s v="Yes"/>
    <n v="20"/>
    <n v="20"/>
    <x v="8"/>
  </r>
  <r>
    <x v="55"/>
    <x v="55"/>
    <s v="Standard"/>
    <d v="2024-04-21T00:00:00"/>
    <x v="0"/>
    <n v="10"/>
    <x v="2"/>
    <s v="No"/>
    <s v="-"/>
    <s v="Yes"/>
    <n v="20"/>
    <n v="15"/>
    <x v="7"/>
  </r>
  <r>
    <x v="56"/>
    <x v="56"/>
    <s v="Core"/>
    <d v="2024-04-22T00:00:00"/>
    <x v="1"/>
    <n v="5"/>
    <x v="0"/>
    <s v="No"/>
    <s v="-"/>
    <s v="No"/>
    <n v="0"/>
    <n v="1"/>
    <x v="4"/>
  </r>
  <r>
    <x v="57"/>
    <x v="57"/>
    <s v="Ultimate"/>
    <d v="2024-04-23T00:00:00"/>
    <x v="0"/>
    <n v="15"/>
    <x v="1"/>
    <s v="Yes"/>
    <n v="30"/>
    <s v="Yes"/>
    <n v="20"/>
    <n v="3"/>
    <x v="3"/>
  </r>
  <r>
    <x v="58"/>
    <x v="58"/>
    <s v="Standard"/>
    <d v="2024-04-24T00:00:00"/>
    <x v="1"/>
    <n v="10"/>
    <x v="0"/>
    <s v="No"/>
    <s v="-"/>
    <s v="Yes"/>
    <n v="20"/>
    <n v="10"/>
    <x v="2"/>
  </r>
  <r>
    <x v="59"/>
    <x v="59"/>
    <s v="Core"/>
    <d v="2024-04-25T00:00:00"/>
    <x v="0"/>
    <n v="5"/>
    <x v="2"/>
    <s v="No"/>
    <s v="-"/>
    <s v="No"/>
    <n v="0"/>
    <n v="0"/>
    <x v="1"/>
  </r>
  <r>
    <x v="60"/>
    <x v="60"/>
    <s v="Ultimate"/>
    <d v="2024-04-26T00:00:00"/>
    <x v="1"/>
    <n v="15"/>
    <x v="0"/>
    <s v="Yes"/>
    <n v="30"/>
    <s v="Yes"/>
    <n v="20"/>
    <n v="5"/>
    <x v="0"/>
  </r>
  <r>
    <x v="61"/>
    <x v="61"/>
    <s v="Standard"/>
    <d v="2024-04-27T00:00:00"/>
    <x v="0"/>
    <n v="10"/>
    <x v="1"/>
    <s v="No"/>
    <s v="-"/>
    <s v="Yes"/>
    <n v="20"/>
    <n v="15"/>
    <x v="7"/>
  </r>
  <r>
    <x v="62"/>
    <x v="62"/>
    <s v="Core"/>
    <d v="2024-04-28T00:00:00"/>
    <x v="1"/>
    <n v="5"/>
    <x v="0"/>
    <s v="No"/>
    <s v="-"/>
    <s v="No"/>
    <n v="0"/>
    <n v="1"/>
    <x v="4"/>
  </r>
  <r>
    <x v="63"/>
    <x v="63"/>
    <s v="Ultimate"/>
    <d v="2024-04-29T00:00:00"/>
    <x v="0"/>
    <n v="15"/>
    <x v="2"/>
    <s v="Yes"/>
    <n v="30"/>
    <s v="Yes"/>
    <n v="20"/>
    <n v="20"/>
    <x v="8"/>
  </r>
  <r>
    <x v="64"/>
    <x v="64"/>
    <s v="Standard"/>
    <d v="2024-04-30T00:00:00"/>
    <x v="1"/>
    <n v="10"/>
    <x v="0"/>
    <s v="No"/>
    <s v="-"/>
    <s v="Yes"/>
    <n v="20"/>
    <n v="5"/>
    <x v="13"/>
  </r>
  <r>
    <x v="65"/>
    <x v="65"/>
    <s v="Core"/>
    <d v="2024-05-01T00:00:00"/>
    <x v="1"/>
    <n v="5"/>
    <x v="0"/>
    <s v="No"/>
    <s v="-"/>
    <s v="No"/>
    <n v="0"/>
    <n v="0"/>
    <x v="1"/>
  </r>
  <r>
    <x v="66"/>
    <x v="66"/>
    <s v="Ultimate"/>
    <d v="2024-05-02T00:00:00"/>
    <x v="0"/>
    <n v="15"/>
    <x v="2"/>
    <s v="Yes"/>
    <n v="30"/>
    <s v="Yes"/>
    <n v="20"/>
    <n v="7"/>
    <x v="12"/>
  </r>
  <r>
    <x v="67"/>
    <x v="67"/>
    <s v="Standard"/>
    <d v="2024-05-03T00:00:00"/>
    <x v="1"/>
    <n v="10"/>
    <x v="1"/>
    <s v="No"/>
    <s v="-"/>
    <s v="Yes"/>
    <n v="20"/>
    <n v="10"/>
    <x v="2"/>
  </r>
  <r>
    <x v="68"/>
    <x v="68"/>
    <s v="Core"/>
    <d v="2024-05-04T00:00:00"/>
    <x v="0"/>
    <n v="5"/>
    <x v="2"/>
    <s v="No"/>
    <s v="-"/>
    <s v="No"/>
    <n v="0"/>
    <n v="1"/>
    <x v="4"/>
  </r>
  <r>
    <x v="69"/>
    <x v="69"/>
    <s v="Ultimate"/>
    <d v="2024-05-05T00:00:00"/>
    <x v="1"/>
    <n v="15"/>
    <x v="0"/>
    <s v="Yes"/>
    <n v="30"/>
    <s v="Yes"/>
    <n v="20"/>
    <n v="15"/>
    <x v="14"/>
  </r>
  <r>
    <x v="70"/>
    <x v="70"/>
    <s v="Standard"/>
    <d v="2024-05-06T00:00:00"/>
    <x v="0"/>
    <n v="10"/>
    <x v="0"/>
    <s v="No"/>
    <s v="-"/>
    <s v="Yes"/>
    <n v="20"/>
    <n v="5"/>
    <x v="13"/>
  </r>
  <r>
    <x v="71"/>
    <x v="71"/>
    <s v="Core"/>
    <d v="2024-05-07T00:00:00"/>
    <x v="1"/>
    <n v="5"/>
    <x v="1"/>
    <s v="No"/>
    <s v="-"/>
    <s v="No"/>
    <n v="0"/>
    <n v="0"/>
    <x v="1"/>
  </r>
  <r>
    <x v="72"/>
    <x v="72"/>
    <s v="Ultimate"/>
    <d v="2024-05-08T00:00:00"/>
    <x v="0"/>
    <n v="15"/>
    <x v="2"/>
    <s v="Yes"/>
    <n v="30"/>
    <s v="Yes"/>
    <n v="20"/>
    <n v="20"/>
    <x v="8"/>
  </r>
  <r>
    <x v="73"/>
    <x v="73"/>
    <s v="Standard"/>
    <d v="2024-05-09T00:00:00"/>
    <x v="1"/>
    <n v="10"/>
    <x v="2"/>
    <s v="No"/>
    <s v="-"/>
    <s v="Yes"/>
    <n v="20"/>
    <n v="12"/>
    <x v="10"/>
  </r>
  <r>
    <x v="74"/>
    <x v="74"/>
    <s v="Core"/>
    <d v="2024-05-10T00:00:00"/>
    <x v="0"/>
    <n v="5"/>
    <x v="0"/>
    <s v="No"/>
    <s v="-"/>
    <s v="No"/>
    <n v="0"/>
    <n v="2"/>
    <x v="11"/>
  </r>
  <r>
    <x v="75"/>
    <x v="75"/>
    <s v="Ultimate"/>
    <d v="2024-05-11T00:00:00"/>
    <x v="1"/>
    <n v="15"/>
    <x v="1"/>
    <s v="Yes"/>
    <n v="30"/>
    <s v="Yes"/>
    <n v="20"/>
    <n v="5"/>
    <x v="0"/>
  </r>
  <r>
    <x v="76"/>
    <x v="76"/>
    <s v="Standard"/>
    <d v="2024-05-12T00:00:00"/>
    <x v="0"/>
    <n v="10"/>
    <x v="0"/>
    <s v="No"/>
    <s v="-"/>
    <s v="Yes"/>
    <n v="20"/>
    <n v="10"/>
    <x v="2"/>
  </r>
  <r>
    <x v="77"/>
    <x v="77"/>
    <s v="Core"/>
    <d v="2024-05-13T00:00:00"/>
    <x v="1"/>
    <n v="5"/>
    <x v="2"/>
    <s v="No"/>
    <s v="-"/>
    <s v="No"/>
    <n v="0"/>
    <n v="0"/>
    <x v="1"/>
  </r>
  <r>
    <x v="78"/>
    <x v="78"/>
    <s v="Ultimate"/>
    <d v="2024-05-14T00:00:00"/>
    <x v="0"/>
    <n v="15"/>
    <x v="0"/>
    <s v="Yes"/>
    <n v="30"/>
    <s v="Yes"/>
    <n v="20"/>
    <n v="3"/>
    <x v="3"/>
  </r>
  <r>
    <x v="79"/>
    <x v="79"/>
    <s v="Standard"/>
    <d v="2024-05-15T00:00:00"/>
    <x v="1"/>
    <n v="10"/>
    <x v="1"/>
    <s v="No"/>
    <s v="-"/>
    <s v="Yes"/>
    <n v="20"/>
    <n v="15"/>
    <x v="7"/>
  </r>
  <r>
    <x v="80"/>
    <x v="80"/>
    <s v="Core"/>
    <d v="2024-05-16T00:00:00"/>
    <x v="0"/>
    <n v="5"/>
    <x v="0"/>
    <s v="No"/>
    <s v="-"/>
    <s v="No"/>
    <n v="0"/>
    <n v="1"/>
    <x v="4"/>
  </r>
  <r>
    <x v="81"/>
    <x v="81"/>
    <s v="Ultimate"/>
    <d v="2024-05-17T00:00:00"/>
    <x v="1"/>
    <n v="15"/>
    <x v="2"/>
    <s v="Yes"/>
    <n v="30"/>
    <s v="Yes"/>
    <n v="20"/>
    <n v="7"/>
    <x v="12"/>
  </r>
  <r>
    <x v="82"/>
    <x v="82"/>
    <s v="Standard"/>
    <d v="2024-05-18T00:00:00"/>
    <x v="0"/>
    <n v="10"/>
    <x v="0"/>
    <s v="No"/>
    <s v="-"/>
    <s v="Yes"/>
    <n v="20"/>
    <n v="10"/>
    <x v="2"/>
  </r>
  <r>
    <x v="83"/>
    <x v="83"/>
    <s v="Core"/>
    <d v="2024-05-19T00:00:00"/>
    <x v="1"/>
    <n v="5"/>
    <x v="1"/>
    <s v="No"/>
    <s v="-"/>
    <s v="No"/>
    <n v="0"/>
    <n v="0"/>
    <x v="1"/>
  </r>
  <r>
    <x v="84"/>
    <x v="84"/>
    <s v="Ultimate"/>
    <d v="2024-05-20T00:00:00"/>
    <x v="0"/>
    <n v="15"/>
    <x v="0"/>
    <s v="Yes"/>
    <n v="30"/>
    <s v="Yes"/>
    <n v="20"/>
    <n v="20"/>
    <x v="8"/>
  </r>
  <r>
    <x v="85"/>
    <x v="85"/>
    <s v="Standard"/>
    <d v="2024-05-21T00:00:00"/>
    <x v="1"/>
    <n v="10"/>
    <x v="2"/>
    <s v="No"/>
    <s v="-"/>
    <s v="Yes"/>
    <n v="20"/>
    <n v="15"/>
    <x v="7"/>
  </r>
  <r>
    <x v="86"/>
    <x v="86"/>
    <s v="Core"/>
    <d v="2024-05-22T00:00:00"/>
    <x v="0"/>
    <n v="5"/>
    <x v="0"/>
    <s v="No"/>
    <s v="-"/>
    <s v="No"/>
    <n v="0"/>
    <n v="1"/>
    <x v="4"/>
  </r>
  <r>
    <x v="87"/>
    <x v="87"/>
    <s v="Ultimate"/>
    <d v="2024-05-23T00:00:00"/>
    <x v="1"/>
    <n v="15"/>
    <x v="1"/>
    <s v="Yes"/>
    <n v="30"/>
    <s v="Yes"/>
    <n v="20"/>
    <n v="3"/>
    <x v="3"/>
  </r>
  <r>
    <x v="88"/>
    <x v="88"/>
    <s v="Standard"/>
    <d v="2024-05-24T00:00:00"/>
    <x v="0"/>
    <n v="10"/>
    <x v="0"/>
    <s v="No"/>
    <s v="-"/>
    <s v="Yes"/>
    <n v="20"/>
    <n v="10"/>
    <x v="2"/>
  </r>
  <r>
    <x v="89"/>
    <x v="89"/>
    <s v="Core"/>
    <d v="2024-05-25T00:00:00"/>
    <x v="1"/>
    <n v="5"/>
    <x v="2"/>
    <s v="No"/>
    <s v="-"/>
    <s v="No"/>
    <n v="0"/>
    <n v="0"/>
    <x v="1"/>
  </r>
  <r>
    <x v="90"/>
    <x v="90"/>
    <s v="Ultimate"/>
    <d v="2024-05-26T00:00:00"/>
    <x v="0"/>
    <n v="15"/>
    <x v="0"/>
    <s v="Yes"/>
    <n v="30"/>
    <s v="Yes"/>
    <n v="20"/>
    <n v="5"/>
    <x v="0"/>
  </r>
  <r>
    <x v="91"/>
    <x v="91"/>
    <s v="Standard"/>
    <d v="2024-05-27T00:00:00"/>
    <x v="1"/>
    <n v="10"/>
    <x v="1"/>
    <s v="No"/>
    <s v="-"/>
    <s v="Yes"/>
    <n v="20"/>
    <n v="15"/>
    <x v="7"/>
  </r>
  <r>
    <x v="92"/>
    <x v="92"/>
    <s v="Core"/>
    <d v="2024-05-28T00:00:00"/>
    <x v="0"/>
    <n v="5"/>
    <x v="0"/>
    <s v="No"/>
    <s v="-"/>
    <s v="No"/>
    <n v="0"/>
    <n v="1"/>
    <x v="4"/>
  </r>
  <r>
    <x v="93"/>
    <x v="93"/>
    <s v="Ultimate"/>
    <d v="2024-05-29T00:00:00"/>
    <x v="1"/>
    <n v="15"/>
    <x v="2"/>
    <s v="Yes"/>
    <n v="30"/>
    <s v="Yes"/>
    <n v="20"/>
    <n v="20"/>
    <x v="8"/>
  </r>
  <r>
    <x v="94"/>
    <x v="94"/>
    <s v="Standard"/>
    <d v="2024-05-30T00:00:00"/>
    <x v="0"/>
    <n v="10"/>
    <x v="2"/>
    <s v="No"/>
    <s v="-"/>
    <s v="Yes"/>
    <n v="20"/>
    <n v="15"/>
    <x v="7"/>
  </r>
  <r>
    <x v="95"/>
    <x v="95"/>
    <s v="Core"/>
    <d v="2024-05-31T00:00:00"/>
    <x v="1"/>
    <n v="5"/>
    <x v="1"/>
    <s v="No"/>
    <s v="-"/>
    <s v="No"/>
    <n v="0"/>
    <n v="0"/>
    <x v="1"/>
  </r>
  <r>
    <x v="96"/>
    <x v="96"/>
    <s v="Ultimate"/>
    <d v="2024-06-01T00:00:00"/>
    <x v="0"/>
    <n v="15"/>
    <x v="0"/>
    <s v="Yes"/>
    <n v="30"/>
    <s v="Yes"/>
    <n v="20"/>
    <n v="7"/>
    <x v="12"/>
  </r>
  <r>
    <x v="97"/>
    <x v="97"/>
    <s v="Standard"/>
    <d v="2024-06-02T00:00:00"/>
    <x v="1"/>
    <n v="10"/>
    <x v="1"/>
    <s v="No"/>
    <s v="-"/>
    <s v="Yes"/>
    <n v="20"/>
    <n v="10"/>
    <x v="2"/>
  </r>
  <r>
    <x v="98"/>
    <x v="98"/>
    <s v="Core"/>
    <d v="2024-06-03T00:00:00"/>
    <x v="0"/>
    <n v="5"/>
    <x v="2"/>
    <s v="No"/>
    <s v="-"/>
    <s v="No"/>
    <n v="0"/>
    <n v="1"/>
    <x v="4"/>
  </r>
  <r>
    <x v="99"/>
    <x v="99"/>
    <s v="Ultimate"/>
    <d v="2024-06-04T00:00:00"/>
    <x v="1"/>
    <n v="15"/>
    <x v="0"/>
    <s v="Yes"/>
    <n v="30"/>
    <s v="Yes"/>
    <n v="20"/>
    <n v="15"/>
    <x v="14"/>
  </r>
  <r>
    <x v="100"/>
    <x v="100"/>
    <s v="Standard"/>
    <d v="2024-06-05T00:00:00"/>
    <x v="0"/>
    <n v="10"/>
    <x v="0"/>
    <s v="No"/>
    <s v="-"/>
    <s v="Yes"/>
    <n v="20"/>
    <n v="5"/>
    <x v="13"/>
  </r>
  <r>
    <x v="101"/>
    <x v="101"/>
    <s v="Core"/>
    <d v="2024-06-06T00:00:00"/>
    <x v="1"/>
    <n v="5"/>
    <x v="1"/>
    <s v="No"/>
    <s v="-"/>
    <s v="No"/>
    <n v="0"/>
    <n v="0"/>
    <x v="1"/>
  </r>
  <r>
    <x v="102"/>
    <x v="102"/>
    <s v="Ultimate"/>
    <d v="2024-06-07T00:00:00"/>
    <x v="0"/>
    <n v="15"/>
    <x v="2"/>
    <s v="Yes"/>
    <n v="30"/>
    <s v="Yes"/>
    <n v="20"/>
    <n v="20"/>
    <x v="8"/>
  </r>
  <r>
    <x v="103"/>
    <x v="103"/>
    <s v="Standard"/>
    <d v="2024-06-08T00:00:00"/>
    <x v="1"/>
    <n v="10"/>
    <x v="2"/>
    <s v="No"/>
    <s v="-"/>
    <s v="Yes"/>
    <n v="20"/>
    <n v="12"/>
    <x v="10"/>
  </r>
  <r>
    <x v="104"/>
    <x v="104"/>
    <s v="Core"/>
    <d v="2024-06-09T00:00:00"/>
    <x v="0"/>
    <n v="5"/>
    <x v="0"/>
    <s v="No"/>
    <s v="-"/>
    <s v="No"/>
    <n v="0"/>
    <n v="2"/>
    <x v="11"/>
  </r>
  <r>
    <x v="105"/>
    <x v="105"/>
    <s v="Core"/>
    <d v="2024-06-10T00:00:00"/>
    <x v="0"/>
    <n v="5"/>
    <x v="0"/>
    <s v="No"/>
    <s v="-"/>
    <s v="No"/>
    <n v="0"/>
    <n v="0"/>
    <x v="1"/>
  </r>
  <r>
    <x v="106"/>
    <x v="106"/>
    <s v="Ultimate"/>
    <d v="2024-06-11T00:00:00"/>
    <x v="1"/>
    <n v="15"/>
    <x v="2"/>
    <s v="Yes"/>
    <n v="30"/>
    <s v="Yes"/>
    <n v="20"/>
    <n v="7"/>
    <x v="12"/>
  </r>
  <r>
    <x v="107"/>
    <x v="107"/>
    <s v="Standard"/>
    <d v="2024-06-12T00:00:00"/>
    <x v="0"/>
    <n v="10"/>
    <x v="1"/>
    <s v="No"/>
    <s v="-"/>
    <s v="Yes"/>
    <n v="20"/>
    <n v="10"/>
    <x v="2"/>
  </r>
  <r>
    <x v="108"/>
    <x v="108"/>
    <s v="Core"/>
    <d v="2024-06-13T00:00:00"/>
    <x v="1"/>
    <n v="5"/>
    <x v="2"/>
    <s v="No"/>
    <s v="-"/>
    <s v="No"/>
    <n v="0"/>
    <n v="1"/>
    <x v="4"/>
  </r>
  <r>
    <x v="109"/>
    <x v="109"/>
    <s v="Ultimate"/>
    <d v="2024-06-14T00:00:00"/>
    <x v="0"/>
    <n v="15"/>
    <x v="0"/>
    <s v="Yes"/>
    <n v="30"/>
    <s v="Yes"/>
    <n v="20"/>
    <n v="15"/>
    <x v="14"/>
  </r>
  <r>
    <x v="110"/>
    <x v="110"/>
    <s v="Standard"/>
    <d v="2024-06-15T00:00:00"/>
    <x v="1"/>
    <n v="10"/>
    <x v="0"/>
    <s v="No"/>
    <s v="-"/>
    <s v="Yes"/>
    <n v="20"/>
    <n v="5"/>
    <x v="13"/>
  </r>
  <r>
    <x v="111"/>
    <x v="111"/>
    <s v="Core"/>
    <d v="2024-06-16T00:00:00"/>
    <x v="0"/>
    <n v="5"/>
    <x v="1"/>
    <s v="No"/>
    <s v="-"/>
    <s v="No"/>
    <n v="0"/>
    <n v="0"/>
    <x v="1"/>
  </r>
  <r>
    <x v="112"/>
    <x v="112"/>
    <s v="Ultimate"/>
    <d v="2024-06-17T00:00:00"/>
    <x v="1"/>
    <n v="15"/>
    <x v="2"/>
    <s v="Yes"/>
    <n v="30"/>
    <s v="Yes"/>
    <n v="20"/>
    <n v="20"/>
    <x v="8"/>
  </r>
  <r>
    <x v="113"/>
    <x v="113"/>
    <s v="Standard"/>
    <d v="2024-06-18T00:00:00"/>
    <x v="0"/>
    <n v="10"/>
    <x v="2"/>
    <s v="No"/>
    <s v="-"/>
    <s v="Yes"/>
    <n v="20"/>
    <n v="12"/>
    <x v="10"/>
  </r>
  <r>
    <x v="114"/>
    <x v="114"/>
    <s v="Core"/>
    <d v="2024-06-19T00:00:00"/>
    <x v="1"/>
    <n v="5"/>
    <x v="0"/>
    <s v="No"/>
    <s v="-"/>
    <s v="No"/>
    <n v="0"/>
    <n v="2"/>
    <x v="11"/>
  </r>
  <r>
    <x v="115"/>
    <x v="115"/>
    <s v="Ultimate"/>
    <d v="2024-06-20T00:00:00"/>
    <x v="0"/>
    <n v="15"/>
    <x v="1"/>
    <s v="Yes"/>
    <n v="30"/>
    <s v="Yes"/>
    <n v="20"/>
    <n v="5"/>
    <x v="0"/>
  </r>
  <r>
    <x v="116"/>
    <x v="116"/>
    <s v="Standard"/>
    <d v="2024-06-21T00:00:00"/>
    <x v="1"/>
    <n v="10"/>
    <x v="0"/>
    <s v="No"/>
    <s v="-"/>
    <s v="Yes"/>
    <n v="20"/>
    <n v="10"/>
    <x v="2"/>
  </r>
  <r>
    <x v="117"/>
    <x v="117"/>
    <s v="Core"/>
    <d v="2024-06-22T00:00:00"/>
    <x v="0"/>
    <n v="5"/>
    <x v="2"/>
    <s v="No"/>
    <s v="-"/>
    <s v="No"/>
    <n v="0"/>
    <n v="0"/>
    <x v="1"/>
  </r>
  <r>
    <x v="118"/>
    <x v="93"/>
    <s v="Ultimate"/>
    <d v="2024-06-23T00:00:00"/>
    <x v="1"/>
    <n v="15"/>
    <x v="0"/>
    <s v="Yes"/>
    <n v="30"/>
    <s v="Yes"/>
    <n v="20"/>
    <n v="3"/>
    <x v="3"/>
  </r>
  <r>
    <x v="119"/>
    <x v="118"/>
    <s v="Standard"/>
    <d v="2024-06-24T00:00:00"/>
    <x v="0"/>
    <n v="10"/>
    <x v="1"/>
    <s v="No"/>
    <s v="-"/>
    <s v="Yes"/>
    <n v="20"/>
    <n v="15"/>
    <x v="7"/>
  </r>
  <r>
    <x v="120"/>
    <x v="119"/>
    <s v="Core"/>
    <d v="2024-06-25T00:00:00"/>
    <x v="1"/>
    <n v="5"/>
    <x v="0"/>
    <s v="No"/>
    <s v="-"/>
    <s v="No"/>
    <n v="0"/>
    <n v="1"/>
    <x v="4"/>
  </r>
  <r>
    <x v="121"/>
    <x v="120"/>
    <s v="Ultimate"/>
    <d v="2024-06-26T00:00:00"/>
    <x v="0"/>
    <n v="15"/>
    <x v="2"/>
    <s v="Yes"/>
    <n v="30"/>
    <s v="Yes"/>
    <n v="20"/>
    <n v="7"/>
    <x v="12"/>
  </r>
  <r>
    <x v="122"/>
    <x v="121"/>
    <s v="Standard"/>
    <d v="2024-06-27T00:00:00"/>
    <x v="1"/>
    <n v="10"/>
    <x v="0"/>
    <s v="No"/>
    <s v="-"/>
    <s v="Yes"/>
    <n v="20"/>
    <n v="10"/>
    <x v="2"/>
  </r>
  <r>
    <x v="123"/>
    <x v="122"/>
    <s v="Core"/>
    <d v="2024-06-28T00:00:00"/>
    <x v="0"/>
    <n v="5"/>
    <x v="1"/>
    <s v="No"/>
    <s v="-"/>
    <s v="No"/>
    <n v="0"/>
    <n v="0"/>
    <x v="1"/>
  </r>
  <r>
    <x v="124"/>
    <x v="123"/>
    <s v="Ultimate"/>
    <d v="2024-06-29T00:00:00"/>
    <x v="1"/>
    <n v="15"/>
    <x v="0"/>
    <s v="Yes"/>
    <n v="30"/>
    <s v="Yes"/>
    <n v="20"/>
    <n v="20"/>
    <x v="8"/>
  </r>
  <r>
    <x v="125"/>
    <x v="124"/>
    <s v="Standard"/>
    <d v="2024-06-30T00:00:00"/>
    <x v="0"/>
    <n v="10"/>
    <x v="2"/>
    <s v="No"/>
    <s v="-"/>
    <s v="Yes"/>
    <n v="20"/>
    <n v="15"/>
    <x v="7"/>
  </r>
  <r>
    <x v="126"/>
    <x v="125"/>
    <s v="Core"/>
    <d v="2024-07-01T00:00:00"/>
    <x v="1"/>
    <n v="5"/>
    <x v="0"/>
    <s v="No"/>
    <s v="-"/>
    <s v="No"/>
    <n v="0"/>
    <n v="1"/>
    <x v="4"/>
  </r>
  <r>
    <x v="127"/>
    <x v="126"/>
    <s v="Ultimate"/>
    <d v="2024-07-02T00:00:00"/>
    <x v="0"/>
    <n v="15"/>
    <x v="1"/>
    <s v="Yes"/>
    <n v="30"/>
    <s v="Yes"/>
    <n v="20"/>
    <n v="3"/>
    <x v="3"/>
  </r>
  <r>
    <x v="128"/>
    <x v="127"/>
    <s v="Standard"/>
    <d v="2024-07-03T00:00:00"/>
    <x v="1"/>
    <n v="10"/>
    <x v="0"/>
    <s v="No"/>
    <s v="-"/>
    <s v="Yes"/>
    <n v="20"/>
    <n v="10"/>
    <x v="2"/>
  </r>
  <r>
    <x v="129"/>
    <x v="128"/>
    <s v="Core"/>
    <d v="2024-07-04T00:00:00"/>
    <x v="0"/>
    <n v="5"/>
    <x v="2"/>
    <s v="No"/>
    <s v="-"/>
    <s v="No"/>
    <n v="0"/>
    <n v="0"/>
    <x v="1"/>
  </r>
  <r>
    <x v="130"/>
    <x v="129"/>
    <s v="Ultimate"/>
    <d v="2024-07-05T00:00:00"/>
    <x v="1"/>
    <n v="15"/>
    <x v="0"/>
    <s v="Yes"/>
    <n v="30"/>
    <s v="Yes"/>
    <n v="20"/>
    <n v="15"/>
    <x v="14"/>
  </r>
  <r>
    <x v="131"/>
    <x v="130"/>
    <s v="Standard"/>
    <d v="2024-07-06T00:00:00"/>
    <x v="0"/>
    <n v="10"/>
    <x v="1"/>
    <s v="No"/>
    <s v="-"/>
    <s v="Yes"/>
    <n v="20"/>
    <n v="15"/>
    <x v="7"/>
  </r>
  <r>
    <x v="132"/>
    <x v="131"/>
    <s v="Core"/>
    <d v="2024-07-07T00:00:00"/>
    <x v="1"/>
    <n v="5"/>
    <x v="0"/>
    <s v="No"/>
    <s v="-"/>
    <s v="No"/>
    <n v="0"/>
    <n v="1"/>
    <x v="4"/>
  </r>
  <r>
    <x v="133"/>
    <x v="132"/>
    <s v="Ultimate"/>
    <d v="2024-07-08T00:00:00"/>
    <x v="0"/>
    <n v="15"/>
    <x v="2"/>
    <s v="Yes"/>
    <n v="30"/>
    <s v="Yes"/>
    <n v="20"/>
    <n v="7"/>
    <x v="12"/>
  </r>
  <r>
    <x v="134"/>
    <x v="133"/>
    <s v="Standard"/>
    <d v="2024-07-09T00:00:00"/>
    <x v="1"/>
    <n v="10"/>
    <x v="0"/>
    <s v="No"/>
    <s v="-"/>
    <s v="Yes"/>
    <n v="20"/>
    <n v="10"/>
    <x v="2"/>
  </r>
  <r>
    <x v="135"/>
    <x v="134"/>
    <s v="Core"/>
    <d v="2024-07-10T00:00:00"/>
    <x v="0"/>
    <n v="5"/>
    <x v="0"/>
    <s v="No"/>
    <s v="-"/>
    <s v="No"/>
    <n v="0"/>
    <n v="0"/>
    <x v="1"/>
  </r>
  <r>
    <x v="136"/>
    <x v="135"/>
    <s v="Ultimate"/>
    <d v="2024-07-11T00:00:00"/>
    <x v="1"/>
    <n v="15"/>
    <x v="2"/>
    <s v="Yes"/>
    <n v="30"/>
    <s v="Yes"/>
    <n v="20"/>
    <n v="7"/>
    <x v="12"/>
  </r>
  <r>
    <x v="137"/>
    <x v="136"/>
    <s v="Standard"/>
    <d v="2024-07-12T00:00:00"/>
    <x v="0"/>
    <n v="10"/>
    <x v="1"/>
    <s v="No"/>
    <s v="-"/>
    <s v="Yes"/>
    <n v="20"/>
    <n v="10"/>
    <x v="2"/>
  </r>
  <r>
    <x v="138"/>
    <x v="137"/>
    <s v="Core"/>
    <d v="2024-07-13T00:00:00"/>
    <x v="1"/>
    <n v="5"/>
    <x v="2"/>
    <s v="No"/>
    <s v="-"/>
    <s v="No"/>
    <n v="0"/>
    <n v="1"/>
    <x v="4"/>
  </r>
  <r>
    <x v="139"/>
    <x v="138"/>
    <s v="Ultimate"/>
    <d v="2024-07-14T00:00:00"/>
    <x v="0"/>
    <n v="15"/>
    <x v="0"/>
    <s v="Yes"/>
    <n v="30"/>
    <s v="Yes"/>
    <n v="20"/>
    <n v="15"/>
    <x v="14"/>
  </r>
  <r>
    <x v="140"/>
    <x v="139"/>
    <s v="Standard"/>
    <d v="2024-07-15T00:00:00"/>
    <x v="1"/>
    <n v="10"/>
    <x v="0"/>
    <s v="No"/>
    <s v="-"/>
    <s v="Yes"/>
    <n v="20"/>
    <n v="5"/>
    <x v="13"/>
  </r>
  <r>
    <x v="141"/>
    <x v="140"/>
    <s v="Core"/>
    <d v="2024-07-16T00:00:00"/>
    <x v="0"/>
    <n v="5"/>
    <x v="1"/>
    <s v="No"/>
    <s v="-"/>
    <s v="No"/>
    <n v="0"/>
    <n v="0"/>
    <x v="1"/>
  </r>
  <r>
    <x v="142"/>
    <x v="141"/>
    <s v="Ultimate"/>
    <d v="2024-07-17T00:00:00"/>
    <x v="1"/>
    <n v="15"/>
    <x v="2"/>
    <s v="Yes"/>
    <n v="30"/>
    <s v="Yes"/>
    <n v="20"/>
    <n v="20"/>
    <x v="8"/>
  </r>
  <r>
    <x v="143"/>
    <x v="142"/>
    <s v="Standard"/>
    <d v="2024-07-18T00:00:00"/>
    <x v="0"/>
    <n v="10"/>
    <x v="2"/>
    <s v="No"/>
    <s v="-"/>
    <s v="Yes"/>
    <n v="20"/>
    <n v="12"/>
    <x v="10"/>
  </r>
  <r>
    <x v="144"/>
    <x v="143"/>
    <s v="Core"/>
    <d v="2024-07-19T00:00:00"/>
    <x v="1"/>
    <n v="5"/>
    <x v="0"/>
    <s v="No"/>
    <s v="-"/>
    <s v="No"/>
    <n v="0"/>
    <n v="2"/>
    <x v="11"/>
  </r>
  <r>
    <x v="145"/>
    <x v="144"/>
    <s v="Ultimate"/>
    <d v="2024-07-20T00:00:00"/>
    <x v="0"/>
    <n v="15"/>
    <x v="1"/>
    <s v="Yes"/>
    <n v="30"/>
    <s v="Yes"/>
    <n v="20"/>
    <n v="5"/>
    <x v="0"/>
  </r>
  <r>
    <x v="146"/>
    <x v="145"/>
    <s v="Standard"/>
    <d v="2024-07-21T00:00:00"/>
    <x v="1"/>
    <n v="10"/>
    <x v="0"/>
    <s v="No"/>
    <s v="-"/>
    <s v="Yes"/>
    <n v="20"/>
    <n v="10"/>
    <x v="2"/>
  </r>
  <r>
    <x v="147"/>
    <x v="146"/>
    <s v="Core"/>
    <d v="2024-07-22T00:00:00"/>
    <x v="0"/>
    <n v="5"/>
    <x v="2"/>
    <s v="No"/>
    <s v="-"/>
    <s v="No"/>
    <n v="0"/>
    <n v="0"/>
    <x v="1"/>
  </r>
  <r>
    <x v="148"/>
    <x v="147"/>
    <s v="Ultimate"/>
    <d v="2024-07-23T00:00:00"/>
    <x v="1"/>
    <n v="15"/>
    <x v="0"/>
    <s v="Yes"/>
    <n v="30"/>
    <s v="Yes"/>
    <n v="20"/>
    <n v="3"/>
    <x v="3"/>
  </r>
  <r>
    <x v="149"/>
    <x v="148"/>
    <s v="Standard"/>
    <d v="2024-07-24T00:00:00"/>
    <x v="0"/>
    <n v="10"/>
    <x v="1"/>
    <s v="No"/>
    <s v="-"/>
    <s v="Yes"/>
    <n v="20"/>
    <n v="15"/>
    <x v="7"/>
  </r>
  <r>
    <x v="150"/>
    <x v="149"/>
    <s v="Core"/>
    <d v="2024-07-25T00:00:00"/>
    <x v="1"/>
    <n v="5"/>
    <x v="0"/>
    <s v="No"/>
    <s v="-"/>
    <s v="No"/>
    <n v="0"/>
    <n v="1"/>
    <x v="4"/>
  </r>
  <r>
    <x v="151"/>
    <x v="150"/>
    <s v="Ultimate"/>
    <d v="2024-07-26T00:00:00"/>
    <x v="0"/>
    <n v="15"/>
    <x v="2"/>
    <s v="Yes"/>
    <n v="30"/>
    <s v="Yes"/>
    <n v="20"/>
    <n v="7"/>
    <x v="12"/>
  </r>
  <r>
    <x v="152"/>
    <x v="151"/>
    <s v="Standard"/>
    <d v="2024-07-27T00:00:00"/>
    <x v="1"/>
    <n v="10"/>
    <x v="0"/>
    <s v="No"/>
    <s v="-"/>
    <s v="Yes"/>
    <n v="20"/>
    <n v="10"/>
    <x v="2"/>
  </r>
  <r>
    <x v="153"/>
    <x v="152"/>
    <s v="Core"/>
    <d v="2024-07-28T00:00:00"/>
    <x v="0"/>
    <n v="5"/>
    <x v="1"/>
    <s v="No"/>
    <s v="-"/>
    <s v="No"/>
    <n v="0"/>
    <n v="0"/>
    <x v="1"/>
  </r>
  <r>
    <x v="154"/>
    <x v="153"/>
    <s v="Ultimate"/>
    <d v="2024-07-29T00:00:00"/>
    <x v="1"/>
    <n v="15"/>
    <x v="0"/>
    <s v="Yes"/>
    <n v="30"/>
    <s v="Yes"/>
    <n v="20"/>
    <n v="20"/>
    <x v="8"/>
  </r>
  <r>
    <x v="155"/>
    <x v="154"/>
    <s v="Standard"/>
    <d v="2024-07-30T00:00:00"/>
    <x v="0"/>
    <n v="10"/>
    <x v="2"/>
    <s v="No"/>
    <s v="-"/>
    <s v="Yes"/>
    <n v="20"/>
    <n v="15"/>
    <x v="7"/>
  </r>
  <r>
    <x v="156"/>
    <x v="155"/>
    <s v="Core"/>
    <d v="2024-07-31T00:00:00"/>
    <x v="1"/>
    <n v="5"/>
    <x v="0"/>
    <s v="No"/>
    <s v="-"/>
    <s v="No"/>
    <n v="0"/>
    <n v="1"/>
    <x v="4"/>
  </r>
  <r>
    <x v="157"/>
    <x v="156"/>
    <s v="Ultimate"/>
    <d v="2024-08-01T00:00:00"/>
    <x v="0"/>
    <n v="15"/>
    <x v="1"/>
    <s v="Yes"/>
    <n v="30"/>
    <s v="Yes"/>
    <n v="20"/>
    <n v="3"/>
    <x v="3"/>
  </r>
  <r>
    <x v="158"/>
    <x v="157"/>
    <s v="Standard"/>
    <d v="2024-08-02T00:00:00"/>
    <x v="1"/>
    <n v="10"/>
    <x v="0"/>
    <s v="No"/>
    <s v="-"/>
    <s v="Yes"/>
    <n v="20"/>
    <n v="10"/>
    <x v="2"/>
  </r>
  <r>
    <x v="159"/>
    <x v="158"/>
    <s v="Core"/>
    <d v="2024-08-03T00:00:00"/>
    <x v="0"/>
    <n v="5"/>
    <x v="2"/>
    <s v="No"/>
    <s v="-"/>
    <s v="No"/>
    <n v="0"/>
    <n v="0"/>
    <x v="1"/>
  </r>
  <r>
    <x v="160"/>
    <x v="58"/>
    <s v="Ultimate"/>
    <d v="2024-08-04T00:00:00"/>
    <x v="1"/>
    <n v="15"/>
    <x v="0"/>
    <s v="Yes"/>
    <n v="30"/>
    <s v="Yes"/>
    <n v="20"/>
    <n v="15"/>
    <x v="14"/>
  </r>
  <r>
    <x v="161"/>
    <x v="159"/>
    <s v="Standard"/>
    <d v="2024-08-05T00:00:00"/>
    <x v="0"/>
    <n v="10"/>
    <x v="1"/>
    <s v="No"/>
    <s v="-"/>
    <s v="Yes"/>
    <n v="20"/>
    <n v="15"/>
    <x v="7"/>
  </r>
  <r>
    <x v="162"/>
    <x v="160"/>
    <s v="Core"/>
    <d v="2024-08-06T00:00:00"/>
    <x v="1"/>
    <n v="5"/>
    <x v="0"/>
    <s v="No"/>
    <s v="-"/>
    <s v="No"/>
    <n v="0"/>
    <n v="1"/>
    <x v="4"/>
  </r>
  <r>
    <x v="163"/>
    <x v="161"/>
    <s v="Ultimate"/>
    <d v="2024-08-07T00:00:00"/>
    <x v="0"/>
    <n v="15"/>
    <x v="2"/>
    <s v="Yes"/>
    <n v="30"/>
    <s v="Yes"/>
    <n v="20"/>
    <n v="7"/>
    <x v="12"/>
  </r>
  <r>
    <x v="164"/>
    <x v="162"/>
    <s v="Standard"/>
    <d v="2024-08-08T00:00:00"/>
    <x v="1"/>
    <n v="10"/>
    <x v="0"/>
    <s v="No"/>
    <s v="-"/>
    <s v="Yes"/>
    <n v="20"/>
    <n v="10"/>
    <x v="2"/>
  </r>
  <r>
    <x v="165"/>
    <x v="163"/>
    <s v="Core"/>
    <d v="2024-08-09T00:00:00"/>
    <x v="0"/>
    <n v="5"/>
    <x v="1"/>
    <s v="No"/>
    <s v="-"/>
    <s v="No"/>
    <n v="0"/>
    <n v="0"/>
    <x v="1"/>
  </r>
  <r>
    <x v="166"/>
    <x v="90"/>
    <s v="Ultimate"/>
    <d v="2024-08-10T00:00:00"/>
    <x v="1"/>
    <n v="15"/>
    <x v="0"/>
    <s v="Yes"/>
    <n v="30"/>
    <s v="Yes"/>
    <n v="20"/>
    <n v="20"/>
    <x v="8"/>
  </r>
  <r>
    <x v="167"/>
    <x v="164"/>
    <s v="Standard"/>
    <d v="2024-08-11T00:00:00"/>
    <x v="0"/>
    <n v="10"/>
    <x v="2"/>
    <s v="No"/>
    <s v="-"/>
    <s v="Yes"/>
    <n v="20"/>
    <n v="15"/>
    <x v="7"/>
  </r>
  <r>
    <x v="168"/>
    <x v="165"/>
    <s v="Core"/>
    <d v="2024-08-12T00:00:00"/>
    <x v="1"/>
    <n v="5"/>
    <x v="0"/>
    <s v="No"/>
    <s v="-"/>
    <s v="No"/>
    <n v="0"/>
    <n v="1"/>
    <x v="4"/>
  </r>
  <r>
    <x v="169"/>
    <x v="166"/>
    <s v="Ultimate"/>
    <d v="2024-08-13T00:00:00"/>
    <x v="0"/>
    <n v="15"/>
    <x v="1"/>
    <s v="Yes"/>
    <n v="30"/>
    <s v="Yes"/>
    <n v="20"/>
    <n v="5"/>
    <x v="0"/>
  </r>
  <r>
    <x v="170"/>
    <x v="167"/>
    <s v="Standard"/>
    <d v="2024-08-14T00:00:00"/>
    <x v="1"/>
    <n v="10"/>
    <x v="0"/>
    <s v="No"/>
    <s v="-"/>
    <s v="Yes"/>
    <n v="20"/>
    <n v="10"/>
    <x v="2"/>
  </r>
  <r>
    <x v="171"/>
    <x v="168"/>
    <s v="Core"/>
    <d v="2024-08-15T00:00:00"/>
    <x v="0"/>
    <n v="5"/>
    <x v="2"/>
    <s v="No"/>
    <s v="-"/>
    <s v="No"/>
    <n v="0"/>
    <n v="0"/>
    <x v="1"/>
  </r>
  <r>
    <x v="172"/>
    <x v="169"/>
    <s v="Ultimate"/>
    <d v="2024-08-16T00:00:00"/>
    <x v="1"/>
    <n v="15"/>
    <x v="0"/>
    <s v="Yes"/>
    <n v="30"/>
    <s v="Yes"/>
    <n v="20"/>
    <n v="3"/>
    <x v="3"/>
  </r>
  <r>
    <x v="173"/>
    <x v="170"/>
    <s v="Standard"/>
    <d v="2024-08-17T00:00:00"/>
    <x v="0"/>
    <n v="10"/>
    <x v="1"/>
    <s v="No"/>
    <s v="-"/>
    <s v="Yes"/>
    <n v="20"/>
    <n v="15"/>
    <x v="7"/>
  </r>
  <r>
    <x v="174"/>
    <x v="171"/>
    <s v="Core"/>
    <d v="2024-08-18T00:00:00"/>
    <x v="1"/>
    <n v="5"/>
    <x v="0"/>
    <s v="No"/>
    <s v="-"/>
    <s v="No"/>
    <n v="0"/>
    <n v="1"/>
    <x v="4"/>
  </r>
  <r>
    <x v="175"/>
    <x v="172"/>
    <s v="Core"/>
    <d v="2024-08-19T00:00:00"/>
    <x v="0"/>
    <n v="5"/>
    <x v="0"/>
    <s v="No"/>
    <s v="-"/>
    <s v="No"/>
    <n v="0"/>
    <n v="0"/>
    <x v="1"/>
  </r>
  <r>
    <x v="176"/>
    <x v="173"/>
    <s v="Ultimate"/>
    <d v="2024-08-20T00:00:00"/>
    <x v="1"/>
    <n v="15"/>
    <x v="2"/>
    <s v="Yes"/>
    <n v="30"/>
    <s v="Yes"/>
    <n v="20"/>
    <n v="7"/>
    <x v="12"/>
  </r>
  <r>
    <x v="177"/>
    <x v="174"/>
    <s v="Standard"/>
    <d v="2024-08-21T00:00:00"/>
    <x v="0"/>
    <n v="10"/>
    <x v="1"/>
    <s v="No"/>
    <s v="-"/>
    <s v="Yes"/>
    <n v="20"/>
    <n v="10"/>
    <x v="2"/>
  </r>
  <r>
    <x v="178"/>
    <x v="175"/>
    <s v="Core"/>
    <d v="2024-08-22T00:00:00"/>
    <x v="1"/>
    <n v="5"/>
    <x v="2"/>
    <s v="No"/>
    <s v="-"/>
    <s v="No"/>
    <n v="0"/>
    <n v="1"/>
    <x v="4"/>
  </r>
  <r>
    <x v="179"/>
    <x v="176"/>
    <s v="Ultimate"/>
    <d v="2024-08-23T00:00:00"/>
    <x v="0"/>
    <n v="15"/>
    <x v="0"/>
    <s v="Yes"/>
    <n v="30"/>
    <s v="Yes"/>
    <n v="20"/>
    <n v="15"/>
    <x v="14"/>
  </r>
  <r>
    <x v="180"/>
    <x v="177"/>
    <s v="Standard"/>
    <d v="2024-08-24T00:00:00"/>
    <x v="1"/>
    <n v="10"/>
    <x v="0"/>
    <s v="No"/>
    <s v="-"/>
    <s v="Yes"/>
    <n v="20"/>
    <n v="5"/>
    <x v="13"/>
  </r>
  <r>
    <x v="181"/>
    <x v="178"/>
    <s v="Core"/>
    <d v="2024-08-25T00:00:00"/>
    <x v="0"/>
    <n v="5"/>
    <x v="1"/>
    <s v="No"/>
    <s v="-"/>
    <s v="No"/>
    <n v="0"/>
    <n v="0"/>
    <x v="1"/>
  </r>
  <r>
    <x v="182"/>
    <x v="179"/>
    <s v="Ultimate"/>
    <d v="2024-08-26T00:00:00"/>
    <x v="1"/>
    <n v="15"/>
    <x v="2"/>
    <s v="Yes"/>
    <n v="30"/>
    <s v="Yes"/>
    <n v="20"/>
    <n v="20"/>
    <x v="8"/>
  </r>
  <r>
    <x v="183"/>
    <x v="180"/>
    <s v="Standard"/>
    <d v="2024-08-27T00:00:00"/>
    <x v="0"/>
    <n v="10"/>
    <x v="2"/>
    <s v="No"/>
    <s v="-"/>
    <s v="Yes"/>
    <n v="20"/>
    <n v="12"/>
    <x v="10"/>
  </r>
  <r>
    <x v="184"/>
    <x v="181"/>
    <s v="Core"/>
    <d v="2024-08-28T00:00:00"/>
    <x v="1"/>
    <n v="5"/>
    <x v="0"/>
    <s v="No"/>
    <s v="-"/>
    <s v="No"/>
    <n v="0"/>
    <n v="2"/>
    <x v="11"/>
  </r>
  <r>
    <x v="185"/>
    <x v="182"/>
    <s v="Ultimate"/>
    <d v="2024-08-29T00:00:00"/>
    <x v="0"/>
    <n v="15"/>
    <x v="1"/>
    <s v="Yes"/>
    <n v="30"/>
    <s v="Yes"/>
    <n v="20"/>
    <n v="5"/>
    <x v="0"/>
  </r>
  <r>
    <x v="186"/>
    <x v="183"/>
    <s v="Standard"/>
    <d v="2024-08-30T00:00:00"/>
    <x v="1"/>
    <n v="10"/>
    <x v="0"/>
    <s v="No"/>
    <s v="-"/>
    <s v="Yes"/>
    <n v="20"/>
    <n v="10"/>
    <x v="2"/>
  </r>
  <r>
    <x v="187"/>
    <x v="184"/>
    <s v="Core"/>
    <d v="2024-08-31T00:00:00"/>
    <x v="0"/>
    <n v="5"/>
    <x v="2"/>
    <s v="No"/>
    <s v="-"/>
    <s v="No"/>
    <n v="0"/>
    <n v="0"/>
    <x v="1"/>
  </r>
  <r>
    <x v="188"/>
    <x v="185"/>
    <s v="Ultimate"/>
    <d v="2024-09-01T00:00:00"/>
    <x v="1"/>
    <n v="15"/>
    <x v="0"/>
    <s v="Yes"/>
    <n v="30"/>
    <s v="Yes"/>
    <n v="20"/>
    <n v="3"/>
    <x v="3"/>
  </r>
  <r>
    <x v="189"/>
    <x v="186"/>
    <s v="Standard"/>
    <d v="2024-09-02T00:00:00"/>
    <x v="0"/>
    <n v="10"/>
    <x v="1"/>
    <s v="No"/>
    <s v="-"/>
    <s v="Yes"/>
    <n v="20"/>
    <n v="15"/>
    <x v="7"/>
  </r>
  <r>
    <x v="190"/>
    <x v="15"/>
    <s v="Core"/>
    <d v="2024-09-03T00:00:00"/>
    <x v="1"/>
    <n v="5"/>
    <x v="0"/>
    <s v="No"/>
    <s v="-"/>
    <s v="No"/>
    <n v="0"/>
    <n v="1"/>
    <x v="4"/>
  </r>
  <r>
    <x v="191"/>
    <x v="187"/>
    <s v="Ultimate"/>
    <d v="2024-09-04T00:00:00"/>
    <x v="0"/>
    <n v="15"/>
    <x v="2"/>
    <s v="Yes"/>
    <n v="30"/>
    <s v="Yes"/>
    <n v="20"/>
    <n v="7"/>
    <x v="12"/>
  </r>
  <r>
    <x v="192"/>
    <x v="188"/>
    <s v="Standard"/>
    <d v="2024-09-05T00:00:00"/>
    <x v="1"/>
    <n v="10"/>
    <x v="0"/>
    <s v="No"/>
    <s v="-"/>
    <s v="Yes"/>
    <n v="20"/>
    <n v="10"/>
    <x v="2"/>
  </r>
  <r>
    <x v="193"/>
    <x v="14"/>
    <s v="Core"/>
    <d v="2024-09-06T00:00:00"/>
    <x v="0"/>
    <n v="5"/>
    <x v="1"/>
    <s v="No"/>
    <s v="-"/>
    <s v="No"/>
    <n v="0"/>
    <n v="0"/>
    <x v="1"/>
  </r>
  <r>
    <x v="194"/>
    <x v="189"/>
    <s v="Ultimate"/>
    <d v="2024-09-07T00:00:00"/>
    <x v="1"/>
    <n v="15"/>
    <x v="0"/>
    <s v="Yes"/>
    <n v="30"/>
    <s v="Yes"/>
    <n v="20"/>
    <n v="20"/>
    <x v="8"/>
  </r>
  <r>
    <x v="195"/>
    <x v="167"/>
    <s v="Standard"/>
    <d v="2024-09-08T00:00:00"/>
    <x v="0"/>
    <n v="10"/>
    <x v="2"/>
    <s v="No"/>
    <s v="-"/>
    <s v="Yes"/>
    <n v="20"/>
    <n v="15"/>
    <x v="7"/>
  </r>
  <r>
    <x v="196"/>
    <x v="190"/>
    <s v="Core"/>
    <d v="2024-09-09T00:00:00"/>
    <x v="1"/>
    <n v="5"/>
    <x v="0"/>
    <s v="No"/>
    <s v="-"/>
    <s v="No"/>
    <n v="0"/>
    <n v="1"/>
    <x v="4"/>
  </r>
  <r>
    <x v="197"/>
    <x v="191"/>
    <s v="Ultimate"/>
    <d v="2024-09-10T00:00:00"/>
    <x v="0"/>
    <n v="15"/>
    <x v="1"/>
    <s v="Yes"/>
    <n v="30"/>
    <s v="Yes"/>
    <n v="20"/>
    <n v="3"/>
    <x v="3"/>
  </r>
  <r>
    <x v="198"/>
    <x v="192"/>
    <s v="Standard"/>
    <d v="2024-09-11T00:00:00"/>
    <x v="1"/>
    <n v="10"/>
    <x v="0"/>
    <s v="No"/>
    <s v="-"/>
    <s v="Yes"/>
    <n v="20"/>
    <n v="10"/>
    <x v="2"/>
  </r>
  <r>
    <x v="199"/>
    <x v="193"/>
    <s v="Core"/>
    <d v="2024-09-12T00:00:00"/>
    <x v="0"/>
    <n v="5"/>
    <x v="2"/>
    <s v="No"/>
    <s v="-"/>
    <s v="No"/>
    <n v="0"/>
    <n v="0"/>
    <x v="1"/>
  </r>
  <r>
    <x v="200"/>
    <x v="194"/>
    <s v="Ultimate"/>
    <d v="2024-09-13T00:00:00"/>
    <x v="1"/>
    <n v="15"/>
    <x v="0"/>
    <s v="Yes"/>
    <n v="30"/>
    <s v="Yes"/>
    <n v="20"/>
    <n v="15"/>
    <x v="14"/>
  </r>
  <r>
    <x v="201"/>
    <x v="195"/>
    <s v="Standard"/>
    <d v="2024-09-14T00:00:00"/>
    <x v="0"/>
    <n v="10"/>
    <x v="1"/>
    <s v="No"/>
    <s v="-"/>
    <s v="Yes"/>
    <n v="20"/>
    <n v="15"/>
    <x v="7"/>
  </r>
  <r>
    <x v="202"/>
    <x v="196"/>
    <s v="Core"/>
    <d v="2024-09-15T00:00:00"/>
    <x v="1"/>
    <n v="5"/>
    <x v="0"/>
    <s v="No"/>
    <s v="-"/>
    <s v="No"/>
    <n v="0"/>
    <n v="1"/>
    <x v="4"/>
  </r>
  <r>
    <x v="203"/>
    <x v="197"/>
    <s v="Ultimate"/>
    <d v="2024-09-16T00:00:00"/>
    <x v="0"/>
    <n v="15"/>
    <x v="2"/>
    <s v="Yes"/>
    <n v="30"/>
    <s v="Yes"/>
    <n v="20"/>
    <n v="7"/>
    <x v="12"/>
  </r>
  <r>
    <x v="204"/>
    <x v="198"/>
    <s v="Standard"/>
    <d v="2024-09-17T00:00:00"/>
    <x v="1"/>
    <n v="10"/>
    <x v="0"/>
    <s v="No"/>
    <s v="-"/>
    <s v="Yes"/>
    <n v="20"/>
    <n v="10"/>
    <x v="2"/>
  </r>
  <r>
    <x v="205"/>
    <x v="199"/>
    <s v="Core"/>
    <d v="2024-09-18T00:00:00"/>
    <x v="0"/>
    <n v="5"/>
    <x v="0"/>
    <s v="No"/>
    <s v="-"/>
    <s v="No"/>
    <n v="0"/>
    <n v="0"/>
    <x v="1"/>
  </r>
  <r>
    <x v="206"/>
    <x v="200"/>
    <s v="Ultimate"/>
    <d v="2024-09-19T00:00:00"/>
    <x v="1"/>
    <n v="15"/>
    <x v="2"/>
    <s v="Yes"/>
    <n v="30"/>
    <s v="Yes"/>
    <n v="20"/>
    <n v="7"/>
    <x v="12"/>
  </r>
  <r>
    <x v="207"/>
    <x v="201"/>
    <s v="Standard"/>
    <d v="2024-09-20T00:00:00"/>
    <x v="0"/>
    <n v="10"/>
    <x v="1"/>
    <s v="No"/>
    <s v="-"/>
    <s v="Yes"/>
    <n v="20"/>
    <n v="10"/>
    <x v="2"/>
  </r>
  <r>
    <x v="208"/>
    <x v="202"/>
    <s v="Core"/>
    <d v="2024-09-21T00:00:00"/>
    <x v="1"/>
    <n v="5"/>
    <x v="2"/>
    <s v="No"/>
    <s v="-"/>
    <s v="No"/>
    <n v="0"/>
    <n v="1"/>
    <x v="4"/>
  </r>
  <r>
    <x v="209"/>
    <x v="203"/>
    <s v="Ultimate"/>
    <d v="2024-09-22T00:00:00"/>
    <x v="0"/>
    <n v="15"/>
    <x v="0"/>
    <s v="Yes"/>
    <n v="30"/>
    <s v="Yes"/>
    <n v="20"/>
    <n v="15"/>
    <x v="14"/>
  </r>
  <r>
    <x v="210"/>
    <x v="204"/>
    <s v="Standard"/>
    <d v="2024-09-23T00:00:00"/>
    <x v="1"/>
    <n v="10"/>
    <x v="0"/>
    <s v="No"/>
    <s v="-"/>
    <s v="Yes"/>
    <n v="20"/>
    <n v="5"/>
    <x v="13"/>
  </r>
  <r>
    <x v="211"/>
    <x v="205"/>
    <s v="Core"/>
    <d v="2024-09-24T00:00:00"/>
    <x v="0"/>
    <n v="5"/>
    <x v="1"/>
    <s v="No"/>
    <s v="-"/>
    <s v="No"/>
    <n v="0"/>
    <n v="0"/>
    <x v="1"/>
  </r>
  <r>
    <x v="212"/>
    <x v="206"/>
    <s v="Ultimate"/>
    <d v="2024-09-25T00:00:00"/>
    <x v="1"/>
    <n v="15"/>
    <x v="2"/>
    <s v="Yes"/>
    <n v="30"/>
    <s v="Yes"/>
    <n v="20"/>
    <n v="20"/>
    <x v="8"/>
  </r>
  <r>
    <x v="213"/>
    <x v="207"/>
    <s v="Standard"/>
    <d v="2024-09-26T00:00:00"/>
    <x v="0"/>
    <n v="10"/>
    <x v="2"/>
    <s v="No"/>
    <s v="-"/>
    <s v="Yes"/>
    <n v="20"/>
    <n v="12"/>
    <x v="10"/>
  </r>
  <r>
    <x v="214"/>
    <x v="37"/>
    <s v="Core"/>
    <d v="2024-09-27T00:00:00"/>
    <x v="1"/>
    <n v="5"/>
    <x v="0"/>
    <s v="No"/>
    <s v="-"/>
    <s v="No"/>
    <n v="0"/>
    <n v="2"/>
    <x v="11"/>
  </r>
  <r>
    <x v="215"/>
    <x v="208"/>
    <s v="Ultimate"/>
    <d v="2024-09-28T00:00:00"/>
    <x v="0"/>
    <n v="15"/>
    <x v="1"/>
    <s v="Yes"/>
    <n v="30"/>
    <s v="Yes"/>
    <n v="20"/>
    <n v="5"/>
    <x v="0"/>
  </r>
  <r>
    <x v="216"/>
    <x v="209"/>
    <s v="Standard"/>
    <d v="2024-09-29T00:00:00"/>
    <x v="1"/>
    <n v="10"/>
    <x v="0"/>
    <s v="No"/>
    <s v="-"/>
    <s v="Yes"/>
    <n v="20"/>
    <n v="10"/>
    <x v="2"/>
  </r>
  <r>
    <x v="217"/>
    <x v="210"/>
    <s v="Core"/>
    <d v="2024-09-30T00:00:00"/>
    <x v="0"/>
    <n v="5"/>
    <x v="2"/>
    <s v="No"/>
    <s v="-"/>
    <s v="No"/>
    <n v="0"/>
    <n v="0"/>
    <x v="1"/>
  </r>
  <r>
    <x v="218"/>
    <x v="211"/>
    <s v="Ultimate"/>
    <d v="2024-10-01T00:00:00"/>
    <x v="1"/>
    <n v="15"/>
    <x v="0"/>
    <s v="Yes"/>
    <n v="30"/>
    <s v="Yes"/>
    <n v="20"/>
    <n v="3"/>
    <x v="3"/>
  </r>
  <r>
    <x v="219"/>
    <x v="212"/>
    <s v="Standard"/>
    <d v="2024-10-02T00:00:00"/>
    <x v="0"/>
    <n v="10"/>
    <x v="1"/>
    <s v="No"/>
    <s v="-"/>
    <s v="Yes"/>
    <n v="20"/>
    <n v="15"/>
    <x v="7"/>
  </r>
  <r>
    <x v="220"/>
    <x v="213"/>
    <s v="Core"/>
    <d v="2024-10-03T00:00:00"/>
    <x v="1"/>
    <n v="5"/>
    <x v="0"/>
    <s v="No"/>
    <s v="-"/>
    <s v="No"/>
    <n v="0"/>
    <n v="1"/>
    <x v="4"/>
  </r>
  <r>
    <x v="221"/>
    <x v="191"/>
    <s v="Ultimate"/>
    <d v="2024-10-04T00:00:00"/>
    <x v="0"/>
    <n v="15"/>
    <x v="2"/>
    <s v="Yes"/>
    <n v="30"/>
    <s v="Yes"/>
    <n v="20"/>
    <n v="7"/>
    <x v="12"/>
  </r>
  <r>
    <x v="222"/>
    <x v="45"/>
    <s v="Standard"/>
    <d v="2024-10-05T00:00:00"/>
    <x v="1"/>
    <n v="10"/>
    <x v="0"/>
    <s v="No"/>
    <s v="-"/>
    <s v="Yes"/>
    <n v="20"/>
    <n v="10"/>
    <x v="2"/>
  </r>
  <r>
    <x v="223"/>
    <x v="214"/>
    <s v="Core"/>
    <d v="2024-10-06T00:00:00"/>
    <x v="0"/>
    <n v="5"/>
    <x v="1"/>
    <s v="No"/>
    <s v="-"/>
    <s v="No"/>
    <n v="0"/>
    <n v="0"/>
    <x v="1"/>
  </r>
  <r>
    <x v="224"/>
    <x v="215"/>
    <s v="Ultimate"/>
    <d v="2024-10-07T00:00:00"/>
    <x v="1"/>
    <n v="15"/>
    <x v="0"/>
    <s v="Yes"/>
    <n v="30"/>
    <s v="Yes"/>
    <n v="20"/>
    <n v="20"/>
    <x v="8"/>
  </r>
  <r>
    <x v="225"/>
    <x v="216"/>
    <s v="Standard"/>
    <d v="2024-10-08T00:00:00"/>
    <x v="0"/>
    <n v="10"/>
    <x v="2"/>
    <s v="No"/>
    <s v="-"/>
    <s v="Yes"/>
    <n v="20"/>
    <n v="15"/>
    <x v="7"/>
  </r>
  <r>
    <x v="226"/>
    <x v="217"/>
    <s v="Core"/>
    <d v="2024-10-09T00:00:00"/>
    <x v="1"/>
    <n v="5"/>
    <x v="0"/>
    <s v="No"/>
    <s v="-"/>
    <s v="No"/>
    <n v="0"/>
    <n v="1"/>
    <x v="4"/>
  </r>
  <r>
    <x v="227"/>
    <x v="218"/>
    <s v="Ultimate"/>
    <d v="2024-10-10T00:00:00"/>
    <x v="0"/>
    <n v="15"/>
    <x v="1"/>
    <s v="Yes"/>
    <n v="30"/>
    <s v="Yes"/>
    <n v="20"/>
    <n v="3"/>
    <x v="3"/>
  </r>
  <r>
    <x v="228"/>
    <x v="219"/>
    <s v="Standard"/>
    <d v="2024-10-11T00:00:00"/>
    <x v="1"/>
    <n v="10"/>
    <x v="0"/>
    <s v="No"/>
    <s v="-"/>
    <s v="Yes"/>
    <n v="20"/>
    <n v="10"/>
    <x v="2"/>
  </r>
  <r>
    <x v="229"/>
    <x v="127"/>
    <s v="Core"/>
    <d v="2024-10-12T00:00:00"/>
    <x v="0"/>
    <n v="5"/>
    <x v="2"/>
    <s v="No"/>
    <s v="-"/>
    <s v="No"/>
    <n v="0"/>
    <n v="0"/>
    <x v="1"/>
  </r>
  <r>
    <x v="230"/>
    <x v="220"/>
    <s v="Ultimate"/>
    <d v="2024-10-13T00:00:00"/>
    <x v="1"/>
    <n v="15"/>
    <x v="0"/>
    <s v="Yes"/>
    <n v="30"/>
    <s v="Yes"/>
    <n v="20"/>
    <n v="15"/>
    <x v="14"/>
  </r>
  <r>
    <x v="231"/>
    <x v="221"/>
    <s v="Standard"/>
    <d v="2024-10-14T00:00:00"/>
    <x v="0"/>
    <n v="10"/>
    <x v="1"/>
    <s v="No"/>
    <s v="-"/>
    <s v="Yes"/>
    <n v="20"/>
    <n v="15"/>
    <x v="7"/>
  </r>
  <r>
    <x v="232"/>
    <x v="222"/>
    <s v="Core"/>
    <d v="2024-10-15T00:00:00"/>
    <x v="1"/>
    <n v="5"/>
    <x v="0"/>
    <s v="No"/>
    <s v="-"/>
    <s v="No"/>
    <n v="0"/>
    <n v="1"/>
    <x v="4"/>
  </r>
  <r>
    <x v="233"/>
    <x v="223"/>
    <s v="Ultimate"/>
    <d v="2024-10-16T00:00:00"/>
    <x v="0"/>
    <n v="15"/>
    <x v="2"/>
    <s v="Yes"/>
    <n v="30"/>
    <s v="Yes"/>
    <n v="20"/>
    <n v="7"/>
    <x v="12"/>
  </r>
  <r>
    <x v="234"/>
    <x v="224"/>
    <s v="Standard"/>
    <d v="2024-10-17T00:00:00"/>
    <x v="1"/>
    <n v="10"/>
    <x v="0"/>
    <s v="No"/>
    <s v="-"/>
    <s v="Yes"/>
    <n v="20"/>
    <n v="10"/>
    <x v="2"/>
  </r>
  <r>
    <x v="235"/>
    <x v="225"/>
    <s v="Core"/>
    <d v="2024-10-18T00:00:00"/>
    <x v="0"/>
    <n v="5"/>
    <x v="1"/>
    <s v="No"/>
    <s v="-"/>
    <s v="No"/>
    <n v="0"/>
    <n v="0"/>
    <x v="1"/>
  </r>
  <r>
    <x v="236"/>
    <x v="226"/>
    <s v="Ultimate"/>
    <d v="2024-10-19T00:00:00"/>
    <x v="1"/>
    <n v="15"/>
    <x v="0"/>
    <s v="Yes"/>
    <n v="30"/>
    <s v="Yes"/>
    <n v="20"/>
    <n v="15"/>
    <x v="14"/>
  </r>
  <r>
    <x v="237"/>
    <x v="227"/>
    <s v="Standard"/>
    <d v="2024-10-20T00:00:00"/>
    <x v="0"/>
    <n v="10"/>
    <x v="2"/>
    <s v="No"/>
    <s v="-"/>
    <s v="Yes"/>
    <n v="20"/>
    <n v="12"/>
    <x v="10"/>
  </r>
  <r>
    <x v="238"/>
    <x v="228"/>
    <s v="Core"/>
    <d v="2024-10-21T00:00:00"/>
    <x v="1"/>
    <n v="5"/>
    <x v="0"/>
    <s v="No"/>
    <s v="-"/>
    <s v="No"/>
    <n v="0"/>
    <n v="2"/>
    <x v="11"/>
  </r>
  <r>
    <x v="239"/>
    <x v="229"/>
    <s v="Ultimate"/>
    <d v="2024-10-22T00:00:00"/>
    <x v="0"/>
    <n v="15"/>
    <x v="1"/>
    <s v="Yes"/>
    <n v="30"/>
    <s v="Yes"/>
    <n v="20"/>
    <n v="5"/>
    <x v="0"/>
  </r>
  <r>
    <x v="240"/>
    <x v="230"/>
    <s v="Standard"/>
    <d v="2024-10-23T00:00:00"/>
    <x v="1"/>
    <n v="10"/>
    <x v="0"/>
    <s v="No"/>
    <s v="-"/>
    <s v="Yes"/>
    <n v="20"/>
    <n v="10"/>
    <x v="2"/>
  </r>
  <r>
    <x v="241"/>
    <x v="231"/>
    <s v="Core"/>
    <d v="2024-10-24T00:00:00"/>
    <x v="0"/>
    <n v="5"/>
    <x v="2"/>
    <s v="No"/>
    <s v="-"/>
    <s v="No"/>
    <n v="0"/>
    <n v="0"/>
    <x v="1"/>
  </r>
  <r>
    <x v="242"/>
    <x v="140"/>
    <s v="Ultimate"/>
    <d v="2024-10-25T00:00:00"/>
    <x v="1"/>
    <n v="15"/>
    <x v="0"/>
    <s v="Yes"/>
    <n v="30"/>
    <s v="Yes"/>
    <n v="20"/>
    <n v="3"/>
    <x v="3"/>
  </r>
  <r>
    <x v="243"/>
    <x v="232"/>
    <s v="Standard"/>
    <d v="2024-10-26T00:00:00"/>
    <x v="0"/>
    <n v="10"/>
    <x v="1"/>
    <s v="No"/>
    <s v="-"/>
    <s v="Yes"/>
    <n v="20"/>
    <n v="15"/>
    <x v="7"/>
  </r>
  <r>
    <x v="244"/>
    <x v="233"/>
    <s v="Core"/>
    <d v="2024-10-27T00:00:00"/>
    <x v="1"/>
    <n v="5"/>
    <x v="0"/>
    <s v="No"/>
    <s v="-"/>
    <s v="No"/>
    <n v="0"/>
    <n v="1"/>
    <x v="4"/>
  </r>
  <r>
    <x v="245"/>
    <x v="234"/>
    <s v="Ultimate"/>
    <d v="2024-10-28T00:00:00"/>
    <x v="0"/>
    <n v="15"/>
    <x v="2"/>
    <s v="Yes"/>
    <n v="30"/>
    <s v="Yes"/>
    <n v="20"/>
    <n v="7"/>
    <x v="12"/>
  </r>
  <r>
    <x v="246"/>
    <x v="235"/>
    <s v="Standard"/>
    <d v="2024-10-29T00:00:00"/>
    <x v="1"/>
    <n v="10"/>
    <x v="0"/>
    <s v="No"/>
    <s v="-"/>
    <s v="Yes"/>
    <n v="20"/>
    <n v="10"/>
    <x v="2"/>
  </r>
  <r>
    <x v="247"/>
    <x v="236"/>
    <s v="Core"/>
    <d v="2024-10-30T00:00:00"/>
    <x v="0"/>
    <n v="5"/>
    <x v="1"/>
    <s v="No"/>
    <s v="-"/>
    <s v="No"/>
    <n v="0"/>
    <n v="0"/>
    <x v="1"/>
  </r>
  <r>
    <x v="248"/>
    <x v="237"/>
    <s v="Ultimate"/>
    <d v="2024-10-31T00:00:00"/>
    <x v="1"/>
    <n v="15"/>
    <x v="0"/>
    <s v="Yes"/>
    <n v="30"/>
    <s v="Yes"/>
    <n v="20"/>
    <n v="20"/>
    <x v="8"/>
  </r>
  <r>
    <x v="249"/>
    <x v="238"/>
    <s v="Standard"/>
    <d v="2024-11-01T00:00:00"/>
    <x v="0"/>
    <n v="10"/>
    <x v="2"/>
    <s v="No"/>
    <s v="-"/>
    <s v="Yes"/>
    <n v="20"/>
    <n v="15"/>
    <x v="7"/>
  </r>
  <r>
    <x v="250"/>
    <x v="239"/>
    <s v="Core"/>
    <d v="2024-11-02T00:00:00"/>
    <x v="1"/>
    <n v="5"/>
    <x v="0"/>
    <s v="No"/>
    <s v="-"/>
    <s v="No"/>
    <n v="0"/>
    <n v="1"/>
    <x v="4"/>
  </r>
  <r>
    <x v="251"/>
    <x v="240"/>
    <s v="Ultimate"/>
    <d v="2024-11-03T00:00:00"/>
    <x v="0"/>
    <n v="15"/>
    <x v="1"/>
    <s v="Yes"/>
    <n v="30"/>
    <s v="Yes"/>
    <n v="20"/>
    <n v="3"/>
    <x v="3"/>
  </r>
  <r>
    <x v="252"/>
    <x v="241"/>
    <s v="Standard"/>
    <d v="2024-11-04T00:00:00"/>
    <x v="1"/>
    <n v="10"/>
    <x v="0"/>
    <s v="No"/>
    <s v="-"/>
    <s v="Yes"/>
    <n v="20"/>
    <n v="10"/>
    <x v="2"/>
  </r>
  <r>
    <x v="253"/>
    <x v="242"/>
    <s v="Core"/>
    <d v="2024-11-05T00:00:00"/>
    <x v="0"/>
    <n v="5"/>
    <x v="2"/>
    <s v="No"/>
    <s v="-"/>
    <s v="No"/>
    <n v="0"/>
    <n v="0"/>
    <x v="1"/>
  </r>
  <r>
    <x v="254"/>
    <x v="243"/>
    <s v="Ultimate"/>
    <d v="2024-11-06T00:00:00"/>
    <x v="1"/>
    <n v="15"/>
    <x v="0"/>
    <s v="Yes"/>
    <n v="30"/>
    <s v="Yes"/>
    <n v="20"/>
    <n v="15"/>
    <x v="14"/>
  </r>
  <r>
    <x v="255"/>
    <x v="244"/>
    <s v="Core"/>
    <d v="2024-11-07T00:00:00"/>
    <x v="0"/>
    <n v="5"/>
    <x v="0"/>
    <s v="No"/>
    <s v="-"/>
    <s v="No"/>
    <n v="0"/>
    <n v="0"/>
    <x v="1"/>
  </r>
  <r>
    <x v="256"/>
    <x v="245"/>
    <s v="Ultimate"/>
    <d v="2024-11-08T00:00:00"/>
    <x v="1"/>
    <n v="15"/>
    <x v="2"/>
    <s v="Yes"/>
    <n v="30"/>
    <s v="Yes"/>
    <n v="20"/>
    <n v="7"/>
    <x v="12"/>
  </r>
  <r>
    <x v="257"/>
    <x v="246"/>
    <s v="Standard"/>
    <d v="2024-11-09T00:00:00"/>
    <x v="0"/>
    <n v="10"/>
    <x v="1"/>
    <s v="No"/>
    <s v="-"/>
    <s v="Yes"/>
    <n v="20"/>
    <n v="10"/>
    <x v="2"/>
  </r>
  <r>
    <x v="258"/>
    <x v="247"/>
    <s v="Core"/>
    <d v="2024-11-10T00:00:00"/>
    <x v="1"/>
    <n v="5"/>
    <x v="2"/>
    <s v="No"/>
    <s v="-"/>
    <s v="No"/>
    <n v="0"/>
    <n v="1"/>
    <x v="4"/>
  </r>
  <r>
    <x v="259"/>
    <x v="248"/>
    <s v="Ultimate"/>
    <d v="2024-11-11T00:00:00"/>
    <x v="0"/>
    <n v="15"/>
    <x v="0"/>
    <s v="Yes"/>
    <n v="30"/>
    <s v="Yes"/>
    <n v="20"/>
    <n v="15"/>
    <x v="14"/>
  </r>
  <r>
    <x v="260"/>
    <x v="249"/>
    <s v="Standard"/>
    <d v="2024-11-12T00:00:00"/>
    <x v="1"/>
    <n v="10"/>
    <x v="0"/>
    <s v="No"/>
    <s v="-"/>
    <s v="Yes"/>
    <n v="20"/>
    <n v="5"/>
    <x v="13"/>
  </r>
  <r>
    <x v="261"/>
    <x v="250"/>
    <s v="Core"/>
    <d v="2024-11-13T00:00:00"/>
    <x v="0"/>
    <n v="5"/>
    <x v="1"/>
    <s v="No"/>
    <s v="-"/>
    <s v="No"/>
    <n v="0"/>
    <n v="0"/>
    <x v="1"/>
  </r>
  <r>
    <x v="262"/>
    <x v="251"/>
    <s v="Ultimate"/>
    <d v="2024-11-14T00:00:00"/>
    <x v="1"/>
    <n v="15"/>
    <x v="2"/>
    <s v="Yes"/>
    <n v="30"/>
    <s v="Yes"/>
    <n v="20"/>
    <n v="20"/>
    <x v="8"/>
  </r>
  <r>
    <x v="263"/>
    <x v="252"/>
    <s v="Standard"/>
    <d v="2024-11-15T00:00:00"/>
    <x v="0"/>
    <n v="10"/>
    <x v="2"/>
    <s v="No"/>
    <s v="-"/>
    <s v="Yes"/>
    <n v="20"/>
    <n v="12"/>
    <x v="10"/>
  </r>
  <r>
    <x v="264"/>
    <x v="253"/>
    <s v="Core"/>
    <d v="2024-11-16T00:00:00"/>
    <x v="1"/>
    <n v="5"/>
    <x v="0"/>
    <s v="No"/>
    <s v="-"/>
    <s v="No"/>
    <n v="0"/>
    <n v="2"/>
    <x v="11"/>
  </r>
  <r>
    <x v="265"/>
    <x v="254"/>
    <s v="Ultimate"/>
    <d v="2024-11-17T00:00:00"/>
    <x v="0"/>
    <n v="15"/>
    <x v="1"/>
    <s v="Yes"/>
    <n v="30"/>
    <s v="Yes"/>
    <n v="20"/>
    <n v="5"/>
    <x v="0"/>
  </r>
  <r>
    <x v="266"/>
    <x v="255"/>
    <s v="Standard"/>
    <d v="2024-11-18T00:00:00"/>
    <x v="1"/>
    <n v="10"/>
    <x v="0"/>
    <s v="No"/>
    <s v="-"/>
    <s v="Yes"/>
    <n v="20"/>
    <n v="10"/>
    <x v="2"/>
  </r>
  <r>
    <x v="267"/>
    <x v="256"/>
    <s v="Core"/>
    <d v="2024-11-19T00:00:00"/>
    <x v="0"/>
    <n v="5"/>
    <x v="2"/>
    <s v="No"/>
    <s v="-"/>
    <s v="No"/>
    <n v="0"/>
    <n v="0"/>
    <x v="1"/>
  </r>
  <r>
    <x v="268"/>
    <x v="257"/>
    <s v="Ultimate"/>
    <d v="2024-11-20T00:00:00"/>
    <x v="1"/>
    <n v="15"/>
    <x v="0"/>
    <s v="Yes"/>
    <n v="30"/>
    <s v="Yes"/>
    <n v="20"/>
    <n v="3"/>
    <x v="3"/>
  </r>
  <r>
    <x v="269"/>
    <x v="258"/>
    <s v="Standard"/>
    <d v="2024-11-21T00:00:00"/>
    <x v="0"/>
    <n v="10"/>
    <x v="1"/>
    <s v="No"/>
    <s v="-"/>
    <s v="Yes"/>
    <n v="20"/>
    <n v="15"/>
    <x v="7"/>
  </r>
  <r>
    <x v="270"/>
    <x v="259"/>
    <s v="Core"/>
    <d v="2024-11-22T00:00:00"/>
    <x v="1"/>
    <n v="5"/>
    <x v="0"/>
    <s v="No"/>
    <s v="-"/>
    <s v="No"/>
    <n v="0"/>
    <n v="1"/>
    <x v="4"/>
  </r>
  <r>
    <x v="271"/>
    <x v="260"/>
    <s v="Ultimate"/>
    <d v="2024-11-23T00:00:00"/>
    <x v="0"/>
    <n v="15"/>
    <x v="2"/>
    <s v="Yes"/>
    <n v="30"/>
    <s v="Yes"/>
    <n v="20"/>
    <n v="7"/>
    <x v="12"/>
  </r>
  <r>
    <x v="272"/>
    <x v="119"/>
    <s v="Standard"/>
    <d v="2024-11-24T00:00:00"/>
    <x v="1"/>
    <n v="10"/>
    <x v="0"/>
    <s v="No"/>
    <s v="-"/>
    <s v="Yes"/>
    <n v="20"/>
    <n v="10"/>
    <x v="2"/>
  </r>
  <r>
    <x v="273"/>
    <x v="261"/>
    <s v="Core"/>
    <d v="2024-11-25T00:00:00"/>
    <x v="0"/>
    <n v="5"/>
    <x v="1"/>
    <s v="No"/>
    <s v="-"/>
    <s v="No"/>
    <n v="0"/>
    <n v="0"/>
    <x v="1"/>
  </r>
  <r>
    <x v="274"/>
    <x v="262"/>
    <s v="Ultimate"/>
    <d v="2024-11-26T00:00:00"/>
    <x v="1"/>
    <n v="15"/>
    <x v="0"/>
    <s v="Yes"/>
    <n v="30"/>
    <s v="Yes"/>
    <n v="20"/>
    <n v="20"/>
    <x v="8"/>
  </r>
  <r>
    <x v="275"/>
    <x v="263"/>
    <s v="Standard"/>
    <d v="2024-11-27T00:00:00"/>
    <x v="0"/>
    <n v="10"/>
    <x v="2"/>
    <s v="No"/>
    <s v="-"/>
    <s v="Yes"/>
    <n v="20"/>
    <n v="15"/>
    <x v="7"/>
  </r>
  <r>
    <x v="276"/>
    <x v="264"/>
    <s v="Core"/>
    <d v="2024-11-28T00:00:00"/>
    <x v="1"/>
    <n v="5"/>
    <x v="0"/>
    <s v="No"/>
    <s v="-"/>
    <s v="No"/>
    <n v="0"/>
    <n v="1"/>
    <x v="4"/>
  </r>
  <r>
    <x v="277"/>
    <x v="265"/>
    <s v="Ultimate"/>
    <d v="2024-11-29T00:00:00"/>
    <x v="0"/>
    <n v="15"/>
    <x v="1"/>
    <s v="Yes"/>
    <n v="30"/>
    <s v="Yes"/>
    <n v="20"/>
    <n v="3"/>
    <x v="3"/>
  </r>
  <r>
    <x v="278"/>
    <x v="266"/>
    <s v="Standard"/>
    <d v="2024-11-30T00:00:00"/>
    <x v="1"/>
    <n v="10"/>
    <x v="0"/>
    <s v="No"/>
    <s v="-"/>
    <s v="Yes"/>
    <n v="20"/>
    <n v="10"/>
    <x v="2"/>
  </r>
  <r>
    <x v="279"/>
    <x v="267"/>
    <s v="Core"/>
    <d v="2024-12-01T00:00:00"/>
    <x v="0"/>
    <n v="5"/>
    <x v="2"/>
    <s v="No"/>
    <s v="-"/>
    <s v="No"/>
    <n v="0"/>
    <n v="0"/>
    <x v="1"/>
  </r>
  <r>
    <x v="280"/>
    <x v="268"/>
    <s v="Ultimate"/>
    <d v="2024-12-02T00:00:00"/>
    <x v="1"/>
    <n v="15"/>
    <x v="0"/>
    <s v="Yes"/>
    <n v="30"/>
    <s v="Yes"/>
    <n v="20"/>
    <n v="15"/>
    <x v="14"/>
  </r>
  <r>
    <x v="281"/>
    <x v="269"/>
    <s v="Standard"/>
    <d v="2024-12-03T00:00:00"/>
    <x v="0"/>
    <n v="10"/>
    <x v="1"/>
    <s v="No"/>
    <s v="-"/>
    <s v="Yes"/>
    <n v="20"/>
    <n v="15"/>
    <x v="7"/>
  </r>
  <r>
    <x v="282"/>
    <x v="270"/>
    <s v="Core"/>
    <d v="2024-12-04T00:00:00"/>
    <x v="1"/>
    <n v="5"/>
    <x v="0"/>
    <s v="No"/>
    <s v="-"/>
    <s v="No"/>
    <n v="0"/>
    <n v="1"/>
    <x v="4"/>
  </r>
  <r>
    <x v="283"/>
    <x v="271"/>
    <s v="Ultimate"/>
    <d v="2024-12-05T00:00:00"/>
    <x v="0"/>
    <n v="15"/>
    <x v="2"/>
    <s v="Yes"/>
    <n v="30"/>
    <s v="Yes"/>
    <n v="20"/>
    <n v="7"/>
    <x v="12"/>
  </r>
  <r>
    <x v="284"/>
    <x v="130"/>
    <s v="Standard"/>
    <d v="2024-12-06T00:00:00"/>
    <x v="1"/>
    <n v="10"/>
    <x v="0"/>
    <s v="No"/>
    <s v="-"/>
    <s v="Yes"/>
    <n v="20"/>
    <n v="10"/>
    <x v="2"/>
  </r>
  <r>
    <x v="285"/>
    <x v="131"/>
    <s v="Core"/>
    <d v="2024-12-07T00:00:00"/>
    <x v="0"/>
    <n v="5"/>
    <x v="1"/>
    <s v="No"/>
    <s v="-"/>
    <s v="No"/>
    <n v="0"/>
    <n v="0"/>
    <x v="1"/>
  </r>
  <r>
    <x v="286"/>
    <x v="181"/>
    <s v="Ultimate"/>
    <d v="2024-12-08T00:00:00"/>
    <x v="1"/>
    <n v="15"/>
    <x v="0"/>
    <s v="Yes"/>
    <n v="30"/>
    <s v="Yes"/>
    <n v="20"/>
    <n v="20"/>
    <x v="8"/>
  </r>
  <r>
    <x v="287"/>
    <x v="272"/>
    <s v="Standard"/>
    <d v="2024-12-09T00:00:00"/>
    <x v="0"/>
    <n v="10"/>
    <x v="2"/>
    <s v="No"/>
    <s v="-"/>
    <s v="Yes"/>
    <n v="20"/>
    <n v="12"/>
    <x v="10"/>
  </r>
  <r>
    <x v="288"/>
    <x v="273"/>
    <s v="Core"/>
    <d v="2024-12-10T00:00:00"/>
    <x v="1"/>
    <n v="5"/>
    <x v="0"/>
    <s v="No"/>
    <s v="-"/>
    <s v="No"/>
    <n v="0"/>
    <n v="2"/>
    <x v="11"/>
  </r>
  <r>
    <x v="289"/>
    <x v="274"/>
    <s v="Ultimate"/>
    <d v="2024-12-11T00:00:00"/>
    <x v="0"/>
    <n v="15"/>
    <x v="1"/>
    <s v="Yes"/>
    <n v="30"/>
    <s v="Yes"/>
    <n v="20"/>
    <n v="5"/>
    <x v="0"/>
  </r>
  <r>
    <x v="290"/>
    <x v="275"/>
    <s v="Standard"/>
    <d v="2024-12-12T00:00:00"/>
    <x v="1"/>
    <n v="10"/>
    <x v="0"/>
    <s v="No"/>
    <s v="-"/>
    <s v="Yes"/>
    <n v="20"/>
    <n v="10"/>
    <x v="2"/>
  </r>
  <r>
    <x v="291"/>
    <x v="276"/>
    <s v="Core"/>
    <d v="2024-12-13T00:00:00"/>
    <x v="0"/>
    <n v="5"/>
    <x v="2"/>
    <s v="No"/>
    <s v="-"/>
    <s v="No"/>
    <n v="0"/>
    <n v="0"/>
    <x v="1"/>
  </r>
  <r>
    <x v="292"/>
    <x v="277"/>
    <s v="Ultimate"/>
    <d v="2024-12-14T00:00:00"/>
    <x v="1"/>
    <n v="15"/>
    <x v="0"/>
    <s v="Yes"/>
    <n v="30"/>
    <s v="Yes"/>
    <n v="20"/>
    <n v="3"/>
    <x v="3"/>
  </r>
  <r>
    <x v="293"/>
    <x v="278"/>
    <s v="Standard"/>
    <d v="2024-12-15T00:00:00"/>
    <x v="0"/>
    <n v="10"/>
    <x v="1"/>
    <s v="No"/>
    <s v="-"/>
    <s v="Yes"/>
    <n v="20"/>
    <n v="15"/>
    <x v="7"/>
  </r>
  <r>
    <x v="294"/>
    <x v="279"/>
    <s v="Core"/>
    <d v="2024-12-16T00:00:00"/>
    <x v="1"/>
    <n v="5"/>
    <x v="0"/>
    <s v="No"/>
    <s v="-"/>
    <s v="No"/>
    <n v="0"/>
    <n v="1"/>
    <x v="4"/>
  </r>
  <r>
    <x v="295"/>
    <x v="280"/>
    <m/>
    <m/>
    <x v="2"/>
    <m/>
    <x v="3"/>
    <m/>
    <m/>
    <m/>
    <m/>
    <m/>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s v="Ultimate"/>
    <x v="0"/>
    <s v="Yes"/>
    <n v="15"/>
    <s v="Monthly"/>
    <s v="Yes"/>
    <n v="30"/>
    <s v="Yes"/>
    <n v="20"/>
    <n v="5"/>
    <n v="60"/>
  </r>
  <r>
    <n v="3232"/>
    <s v="Maria Oliveira"/>
    <s v="Core"/>
    <x v="1"/>
    <s v="No"/>
    <n v="5"/>
    <s v="Annual"/>
    <s v="No"/>
    <s v="-"/>
    <s v="No"/>
    <n v="0"/>
    <n v="0"/>
    <n v="5"/>
  </r>
  <r>
    <n v="3233"/>
    <s v="Lucas Fernandes"/>
    <s v="Standard"/>
    <x v="2"/>
    <s v="Yes"/>
    <n v="10"/>
    <s v="Quarterly"/>
    <s v="No"/>
    <s v="-"/>
    <s v="Yes"/>
    <n v="20"/>
    <n v="10"/>
    <n v="20"/>
  </r>
  <r>
    <n v="3234"/>
    <s v="Ana Souza"/>
    <s v="Ultimate"/>
    <x v="3"/>
    <s v="No"/>
    <n v="15"/>
    <s v="Monthly"/>
    <s v="Yes"/>
    <n v="30"/>
    <s v="Yes"/>
    <n v="20"/>
    <n v="3"/>
    <n v="62"/>
  </r>
  <r>
    <n v="3235"/>
    <s v="Pedro Gonçalves"/>
    <s v="Core"/>
    <x v="4"/>
    <s v="Yes"/>
    <n v="5"/>
    <s v="Monthly"/>
    <s v="No"/>
    <s v="-"/>
    <s v="No"/>
    <n v="0"/>
    <n v="1"/>
    <n v="4"/>
  </r>
  <r>
    <n v="3236"/>
    <s v="Felipe Costa"/>
    <s v="Standard"/>
    <x v="5"/>
    <s v="No"/>
    <n v="10"/>
    <s v="Monthly"/>
    <s v="No"/>
    <s v="-"/>
    <s v="Yes"/>
    <n v="20"/>
    <n v="2"/>
    <n v="28"/>
  </r>
  <r>
    <n v="3237"/>
    <s v="Camila Ribeiro"/>
    <s v="Ultimate"/>
    <x v="6"/>
    <s v="Yes"/>
    <n v="15"/>
    <s v="Quarterly"/>
    <s v="Yes"/>
    <n v="30"/>
    <s v="Yes"/>
    <n v="20"/>
    <n v="10"/>
    <n v="55"/>
  </r>
  <r>
    <n v="3238"/>
    <s v="André Mendes"/>
    <s v="Core"/>
    <x v="7"/>
    <s v="Yes"/>
    <n v="5"/>
    <s v="Annual"/>
    <s v="No"/>
    <s v="-"/>
    <s v="No"/>
    <n v="0"/>
    <n v="0"/>
    <n v="5"/>
  </r>
  <r>
    <n v="3239"/>
    <s v="Sofia Almeida"/>
    <s v="Ultimate"/>
    <x v="4"/>
    <s v="No"/>
    <n v="15"/>
    <s v="Monthly"/>
    <s v="Yes"/>
    <n v="30"/>
    <s v="Yes"/>
    <n v="20"/>
    <n v="5"/>
    <n v="60"/>
  </r>
  <r>
    <n v="3240"/>
    <s v="Bruno Martins"/>
    <s v="Standard"/>
    <x v="8"/>
    <s v="Yes"/>
    <n v="10"/>
    <s v="Quarterly"/>
    <s v="No"/>
    <s v="-"/>
    <s v="Yes"/>
    <n v="20"/>
    <n v="15"/>
    <n v="15"/>
  </r>
  <r>
    <n v="3241"/>
    <s v="Rita Castro"/>
    <s v="Core"/>
    <x v="9"/>
    <s v="No"/>
    <n v="5"/>
    <s v="Monthly"/>
    <s v="No"/>
    <s v="-"/>
    <s v="No"/>
    <n v="0"/>
    <n v="1"/>
    <n v="4"/>
  </r>
  <r>
    <n v="3242"/>
    <s v="Marco Túlio"/>
    <s v="Ultimate"/>
    <x v="10"/>
    <s v="Yes"/>
    <n v="15"/>
    <s v="Annual"/>
    <s v="Yes"/>
    <n v="30"/>
    <s v="Yes"/>
    <n v="20"/>
    <n v="20"/>
    <n v="45"/>
  </r>
  <r>
    <n v="3243"/>
    <s v="Lívia Silveira"/>
    <s v="Standard"/>
    <x v="11"/>
    <s v="No"/>
    <n v="10"/>
    <s v="Monthly"/>
    <s v="No"/>
    <s v="-"/>
    <s v="Yes"/>
    <n v="20"/>
    <n v="10"/>
    <n v="20"/>
  </r>
  <r>
    <n v="3244"/>
    <s v="Diogo Sousa"/>
    <s v="Core"/>
    <x v="12"/>
    <s v="Yes"/>
    <n v="5"/>
    <s v="Quarterly"/>
    <s v="No"/>
    <s v="-"/>
    <s v="No"/>
    <n v="0"/>
    <n v="0"/>
    <n v="5"/>
  </r>
  <r>
    <n v="3245"/>
    <s v="Fernanda Lima"/>
    <s v="Ultimate"/>
    <x v="13"/>
    <s v="No"/>
    <n v="15"/>
    <s v="Monthly"/>
    <s v="Yes"/>
    <n v="30"/>
    <s v="Yes"/>
    <n v="20"/>
    <n v="8"/>
    <n v="57"/>
  </r>
  <r>
    <n v="3246"/>
    <s v="Caio Pereira"/>
    <s v="Standard"/>
    <x v="14"/>
    <s v="Yes"/>
    <n v="10"/>
    <s v="Annual"/>
    <s v="No"/>
    <s v="-"/>
    <s v="Yes"/>
    <n v="20"/>
    <n v="12"/>
    <n v="18"/>
  </r>
  <r>
    <n v="3247"/>
    <s v="Beatriz Gomes"/>
    <s v="Core"/>
    <x v="15"/>
    <s v="No"/>
    <n v="5"/>
    <s v="Monthly"/>
    <s v="No"/>
    <s v="-"/>
    <s v="No"/>
    <n v="0"/>
    <n v="2"/>
    <n v="3"/>
  </r>
  <r>
    <n v="3248"/>
    <s v="Cesar Oliveira"/>
    <s v="Ultimate"/>
    <x v="16"/>
    <s v="Yes"/>
    <n v="15"/>
    <s v="Quarterly"/>
    <s v="Yes"/>
    <n v="30"/>
    <s v="Yes"/>
    <n v="20"/>
    <n v="7"/>
    <n v="58"/>
  </r>
  <r>
    <n v="3249"/>
    <s v="Débora Machado"/>
    <s v="Standard"/>
    <x v="17"/>
    <s v="No"/>
    <n v="10"/>
    <s v="Monthly"/>
    <s v="No"/>
    <s v="-"/>
    <s v="Yes"/>
    <n v="20"/>
    <n v="5"/>
    <n v="25"/>
  </r>
  <r>
    <n v="3250"/>
    <s v="Eduardo Vargas"/>
    <s v="Core"/>
    <x v="18"/>
    <s v="Yes"/>
    <n v="5"/>
    <s v="Annual"/>
    <s v="No"/>
    <s v="-"/>
    <s v="No"/>
    <n v="0"/>
    <n v="0"/>
    <n v="5"/>
  </r>
  <r>
    <n v="3251"/>
    <s v="Gabriela Santos"/>
    <s v="Ultimate"/>
    <x v="19"/>
    <s v="No"/>
    <n v="15"/>
    <s v="Monthly"/>
    <s v="Yes"/>
    <n v="30"/>
    <s v="Yes"/>
    <n v="20"/>
    <n v="3"/>
    <n v="62"/>
  </r>
  <r>
    <n v="3252"/>
    <s v="Henrique Dias"/>
    <s v="Standard"/>
    <x v="20"/>
    <s v="Yes"/>
    <n v="10"/>
    <s v="Quarterly"/>
    <s v="No"/>
    <s v="-"/>
    <s v="Yes"/>
    <n v="20"/>
    <n v="15"/>
    <n v="15"/>
  </r>
  <r>
    <n v="3253"/>
    <s v="Isabela Moreira"/>
    <s v="Core"/>
    <x v="21"/>
    <s v="No"/>
    <n v="5"/>
    <s v="Monthly"/>
    <s v="No"/>
    <s v="-"/>
    <s v="No"/>
    <n v="0"/>
    <n v="1"/>
    <n v="4"/>
  </r>
  <r>
    <n v="3254"/>
    <s v="Joaquim Barbosa"/>
    <s v="Ultimate"/>
    <x v="22"/>
    <s v="Yes"/>
    <n v="15"/>
    <s v="Annual"/>
    <s v="Yes"/>
    <n v="30"/>
    <s v="Yes"/>
    <n v="20"/>
    <n v="20"/>
    <n v="45"/>
  </r>
  <r>
    <n v="3255"/>
    <s v="Lara Rocha"/>
    <s v="Standard"/>
    <x v="23"/>
    <s v="No"/>
    <n v="10"/>
    <s v="Monthly"/>
    <s v="No"/>
    <s v="-"/>
    <s v="Yes"/>
    <n v="20"/>
    <n v="10"/>
    <n v="20"/>
  </r>
  <r>
    <n v="3256"/>
    <s v="Matheus Silva"/>
    <s v="Core"/>
    <x v="24"/>
    <s v="Yes"/>
    <n v="5"/>
    <s v="Quarterly"/>
    <s v="No"/>
    <s v="-"/>
    <s v="No"/>
    <n v="0"/>
    <n v="0"/>
    <n v="5"/>
  </r>
  <r>
    <n v="3257"/>
    <s v="Nicole Costa"/>
    <s v="Ultimate"/>
    <x v="25"/>
    <s v="No"/>
    <n v="15"/>
    <s v="Monthly"/>
    <s v="Yes"/>
    <n v="30"/>
    <s v="Yes"/>
    <n v="20"/>
    <n v="5"/>
    <n v="60"/>
  </r>
  <r>
    <n v="3258"/>
    <s v="Otávio Mendonça"/>
    <s v="Standard"/>
    <x v="26"/>
    <s v="Yes"/>
    <n v="10"/>
    <s v="Annual"/>
    <s v="No"/>
    <s v="-"/>
    <s v="Yes"/>
    <n v="20"/>
    <n v="15"/>
    <n v="15"/>
  </r>
  <r>
    <n v="3259"/>
    <s v="Paula Ferreira"/>
    <s v="Core"/>
    <x v="27"/>
    <s v="No"/>
    <n v="5"/>
    <s v="Monthly"/>
    <s v="No"/>
    <s v="-"/>
    <s v="No"/>
    <n v="0"/>
    <n v="1"/>
    <n v="4"/>
  </r>
  <r>
    <n v="3260"/>
    <s v="Raquel Alves"/>
    <s v="Ultimate"/>
    <x v="28"/>
    <s v="Yes"/>
    <n v="15"/>
    <s v="Quarterly"/>
    <s v="Yes"/>
    <n v="30"/>
    <s v="Yes"/>
    <n v="20"/>
    <n v="7"/>
    <n v="58"/>
  </r>
  <r>
    <n v="3261"/>
    <s v="Samuel Pires"/>
    <s v="Standard"/>
    <x v="29"/>
    <s v="No"/>
    <n v="10"/>
    <s v="Monthly"/>
    <s v="No"/>
    <s v="-"/>
    <s v="Yes"/>
    <n v="20"/>
    <n v="10"/>
    <n v="20"/>
  </r>
  <r>
    <n v="3262"/>
    <s v="Tânia Barros"/>
    <s v="Core"/>
    <x v="30"/>
    <s v="Yes"/>
    <n v="5"/>
    <s v="Annual"/>
    <s v="No"/>
    <s v="-"/>
    <s v="No"/>
    <n v="0"/>
    <n v="0"/>
    <n v="5"/>
  </r>
  <r>
    <n v="3263"/>
    <s v="Vinicius Lima"/>
    <s v="Ultimate"/>
    <x v="31"/>
    <s v="No"/>
    <n v="15"/>
    <s v="Monthly"/>
    <s v="Yes"/>
    <n v="30"/>
    <s v="Yes"/>
    <n v="20"/>
    <n v="3"/>
    <n v="62"/>
  </r>
  <r>
    <n v="3264"/>
    <s v="Yasmin Teixeira"/>
    <s v="Standard"/>
    <x v="32"/>
    <s v="Yes"/>
    <n v="10"/>
    <s v="Quarterly"/>
    <s v="No"/>
    <s v="-"/>
    <s v="Yes"/>
    <n v="20"/>
    <n v="15"/>
    <n v="15"/>
  </r>
  <r>
    <n v="3265"/>
    <s v="Zé Carlos"/>
    <s v="Core"/>
    <x v="33"/>
    <s v="No"/>
    <n v="5"/>
    <s v="Monthly"/>
    <s v="No"/>
    <s v="-"/>
    <s v="No"/>
    <n v="0"/>
    <n v="1"/>
    <n v="4"/>
  </r>
  <r>
    <n v="3266"/>
    <s v="Amanda Nogueira"/>
    <s v="Core"/>
    <x v="34"/>
    <s v="Yes"/>
    <n v="5"/>
    <s v="Monthly"/>
    <s v="No"/>
    <s v="-"/>
    <s v="No"/>
    <n v="0"/>
    <n v="0"/>
    <n v="5"/>
  </r>
  <r>
    <n v="3267"/>
    <s v="Bruno Cavalheiro"/>
    <s v="Ultimate"/>
    <x v="35"/>
    <s v="No"/>
    <n v="15"/>
    <s v="Quarterly"/>
    <s v="Yes"/>
    <n v="30"/>
    <s v="Yes"/>
    <n v="20"/>
    <n v="7"/>
    <n v="58"/>
  </r>
  <r>
    <n v="3268"/>
    <s v="Carla Dias"/>
    <s v="Standard"/>
    <x v="36"/>
    <s v="Yes"/>
    <n v="10"/>
    <s v="Annual"/>
    <s v="No"/>
    <s v="-"/>
    <s v="Yes"/>
    <n v="20"/>
    <n v="10"/>
    <n v="20"/>
  </r>
  <r>
    <n v="3269"/>
    <s v="Diego Fontes"/>
    <s v="Core"/>
    <x v="37"/>
    <s v="No"/>
    <n v="5"/>
    <s v="Quarterly"/>
    <s v="No"/>
    <s v="-"/>
    <s v="No"/>
    <n v="0"/>
    <n v="1"/>
    <n v="4"/>
  </r>
  <r>
    <n v="3270"/>
    <s v="Eunice Lima"/>
    <s v="Ultimate"/>
    <x v="38"/>
    <s v="Yes"/>
    <n v="15"/>
    <s v="Monthly"/>
    <s v="Yes"/>
    <n v="30"/>
    <s v="Yes"/>
    <n v="20"/>
    <n v="15"/>
    <n v="50"/>
  </r>
  <r>
    <n v="3271"/>
    <s v="Fábio Martins"/>
    <s v="Standard"/>
    <x v="39"/>
    <s v="No"/>
    <n v="10"/>
    <s v="Monthly"/>
    <s v="No"/>
    <s v="-"/>
    <s v="Yes"/>
    <n v="20"/>
    <n v="5"/>
    <n v="25"/>
  </r>
  <r>
    <n v="3272"/>
    <s v="Gisele Araújo"/>
    <s v="Core"/>
    <x v="40"/>
    <s v="Yes"/>
    <n v="5"/>
    <s v="Annual"/>
    <s v="No"/>
    <s v="-"/>
    <s v="No"/>
    <n v="0"/>
    <n v="0"/>
    <n v="5"/>
  </r>
  <r>
    <n v="3273"/>
    <s v="Hélio Castro"/>
    <s v="Ultimate"/>
    <x v="41"/>
    <s v="No"/>
    <n v="15"/>
    <s v="Quarterly"/>
    <s v="Yes"/>
    <n v="30"/>
    <s v="Yes"/>
    <n v="20"/>
    <n v="20"/>
    <n v="45"/>
  </r>
  <r>
    <n v="3274"/>
    <s v="Ingrid Menezes"/>
    <s v="Standard"/>
    <x v="42"/>
    <s v="Yes"/>
    <n v="10"/>
    <s v="Quarterly"/>
    <s v="No"/>
    <s v="-"/>
    <s v="Yes"/>
    <n v="20"/>
    <n v="12"/>
    <n v="18"/>
  </r>
  <r>
    <n v="3275"/>
    <s v="Jorge Baptista"/>
    <s v="Core"/>
    <x v="43"/>
    <s v="No"/>
    <n v="5"/>
    <s v="Monthly"/>
    <s v="No"/>
    <s v="-"/>
    <s v="No"/>
    <n v="0"/>
    <n v="2"/>
    <n v="3"/>
  </r>
  <r>
    <n v="3276"/>
    <s v="Kléber Oliveira"/>
    <s v="Ultimate"/>
    <x v="44"/>
    <s v="Yes"/>
    <n v="15"/>
    <s v="Annual"/>
    <s v="Yes"/>
    <n v="30"/>
    <s v="Yes"/>
    <n v="20"/>
    <n v="5"/>
    <n v="60"/>
  </r>
  <r>
    <n v="3277"/>
    <s v="Luciana Freitas"/>
    <s v="Standard"/>
    <x v="45"/>
    <s v="No"/>
    <n v="10"/>
    <s v="Monthly"/>
    <s v="No"/>
    <s v="-"/>
    <s v="Yes"/>
    <n v="20"/>
    <n v="10"/>
    <n v="20"/>
  </r>
  <r>
    <n v="3278"/>
    <s v="Márcia Eller"/>
    <s v="Core"/>
    <x v="46"/>
    <s v="Yes"/>
    <n v="5"/>
    <s v="Quarterly"/>
    <s v="No"/>
    <s v="-"/>
    <s v="No"/>
    <n v="0"/>
    <n v="0"/>
    <n v="5"/>
  </r>
  <r>
    <n v="3279"/>
    <s v="Nilo Peçanha"/>
    <s v="Ultimate"/>
    <x v="47"/>
    <s v="No"/>
    <n v="15"/>
    <s v="Monthly"/>
    <s v="Yes"/>
    <n v="30"/>
    <s v="Yes"/>
    <n v="20"/>
    <n v="3"/>
    <n v="62"/>
  </r>
  <r>
    <n v="3280"/>
    <s v="Oscar Neves"/>
    <s v="Standard"/>
    <x v="48"/>
    <s v="Yes"/>
    <n v="10"/>
    <s v="Annual"/>
    <s v="No"/>
    <s v="-"/>
    <s v="Yes"/>
    <n v="20"/>
    <n v="15"/>
    <n v="15"/>
  </r>
  <r>
    <n v="3281"/>
    <s v="Patrícia Soares"/>
    <s v="Core"/>
    <x v="49"/>
    <s v="No"/>
    <n v="5"/>
    <s v="Monthly"/>
    <s v="No"/>
    <s v="-"/>
    <s v="No"/>
    <n v="0"/>
    <n v="1"/>
    <n v="4"/>
  </r>
  <r>
    <n v="3282"/>
    <s v="Quirino Gonçalves"/>
    <s v="Ultimate"/>
    <x v="50"/>
    <s v="Yes"/>
    <n v="15"/>
    <s v="Quarterly"/>
    <s v="Yes"/>
    <n v="30"/>
    <s v="Yes"/>
    <n v="20"/>
    <n v="7"/>
    <n v="58"/>
  </r>
  <r>
    <n v="3283"/>
    <s v="Raul Machado"/>
    <s v="Standard"/>
    <x v="51"/>
    <s v="No"/>
    <n v="10"/>
    <s v="Monthly"/>
    <s v="No"/>
    <s v="-"/>
    <s v="Yes"/>
    <n v="20"/>
    <n v="10"/>
    <n v="20"/>
  </r>
  <r>
    <n v="3284"/>
    <s v="Sônia Lobo"/>
    <s v="Core"/>
    <x v="52"/>
    <s v="Yes"/>
    <n v="5"/>
    <s v="Annual"/>
    <s v="No"/>
    <s v="-"/>
    <s v="No"/>
    <n v="0"/>
    <n v="0"/>
    <n v="5"/>
  </r>
  <r>
    <n v="3285"/>
    <s v="Tiago Ramos"/>
    <s v="Ultimate"/>
    <x v="53"/>
    <s v="No"/>
    <n v="15"/>
    <s v="Monthly"/>
    <s v="Yes"/>
    <n v="30"/>
    <s v="Yes"/>
    <n v="20"/>
    <n v="20"/>
    <n v="45"/>
  </r>
  <r>
    <n v="3286"/>
    <s v="Ugo Pires"/>
    <s v="Standard"/>
    <x v="54"/>
    <s v="Yes"/>
    <n v="10"/>
    <s v="Quarterly"/>
    <s v="No"/>
    <s v="-"/>
    <s v="Yes"/>
    <n v="20"/>
    <n v="15"/>
    <n v="15"/>
  </r>
  <r>
    <n v="3287"/>
    <s v="Valéria Nobre"/>
    <s v="Core"/>
    <x v="55"/>
    <s v="No"/>
    <n v="5"/>
    <s v="Monthly"/>
    <s v="No"/>
    <s v="-"/>
    <s v="No"/>
    <n v="0"/>
    <n v="1"/>
    <n v="4"/>
  </r>
  <r>
    <n v="3288"/>
    <s v="William Siqueira"/>
    <s v="Ultimate"/>
    <x v="56"/>
    <s v="Yes"/>
    <n v="15"/>
    <s v="Annual"/>
    <s v="Yes"/>
    <n v="30"/>
    <s v="Yes"/>
    <n v="20"/>
    <n v="3"/>
    <n v="62"/>
  </r>
  <r>
    <n v="3289"/>
    <s v="Xuxa Meneghel"/>
    <s v="Standard"/>
    <x v="57"/>
    <s v="No"/>
    <n v="10"/>
    <s v="Monthly"/>
    <s v="No"/>
    <s v="-"/>
    <s v="Yes"/>
    <n v="20"/>
    <n v="10"/>
    <n v="20"/>
  </r>
  <r>
    <n v="3290"/>
    <s v="Yara Figueiredo"/>
    <s v="Core"/>
    <x v="58"/>
    <s v="Yes"/>
    <n v="5"/>
    <s v="Quarterly"/>
    <s v="No"/>
    <s v="-"/>
    <s v="No"/>
    <n v="0"/>
    <n v="0"/>
    <n v="5"/>
  </r>
  <r>
    <n v="3291"/>
    <s v="Zacarias Alves"/>
    <s v="Ultimate"/>
    <x v="59"/>
    <s v="No"/>
    <n v="15"/>
    <s v="Monthly"/>
    <s v="Yes"/>
    <n v="30"/>
    <s v="Yes"/>
    <n v="20"/>
    <n v="5"/>
    <n v="60"/>
  </r>
  <r>
    <n v="3292"/>
    <s v="Amanda Bynes"/>
    <s v="Standard"/>
    <x v="60"/>
    <s v="Yes"/>
    <n v="10"/>
    <s v="Annual"/>
    <s v="No"/>
    <s v="-"/>
    <s v="Yes"/>
    <n v="20"/>
    <n v="15"/>
    <n v="15"/>
  </r>
  <r>
    <n v="3293"/>
    <s v="Bruno Mars"/>
    <s v="Core"/>
    <x v="61"/>
    <s v="No"/>
    <n v="5"/>
    <s v="Monthly"/>
    <s v="No"/>
    <s v="-"/>
    <s v="No"/>
    <n v="0"/>
    <n v="1"/>
    <n v="4"/>
  </r>
  <r>
    <n v="3294"/>
    <s v="Carla Bruni"/>
    <s v="Ultimate"/>
    <x v="62"/>
    <s v="Yes"/>
    <n v="15"/>
    <s v="Quarterly"/>
    <s v="Yes"/>
    <n v="30"/>
    <s v="Yes"/>
    <n v="20"/>
    <n v="20"/>
    <n v="45"/>
  </r>
  <r>
    <n v="3295"/>
    <s v="Diego Maradona"/>
    <s v="Standard"/>
    <x v="63"/>
    <s v="No"/>
    <n v="10"/>
    <s v="Monthly"/>
    <s v="No"/>
    <s v="-"/>
    <s v="Yes"/>
    <n v="20"/>
    <n v="5"/>
    <n v="25"/>
  </r>
  <r>
    <n v="3296"/>
    <s v="Estela Marques"/>
    <s v="Core"/>
    <x v="64"/>
    <s v="No"/>
    <n v="5"/>
    <s v="Monthly"/>
    <s v="No"/>
    <s v="-"/>
    <s v="No"/>
    <n v="0"/>
    <n v="0"/>
    <n v="5"/>
  </r>
  <r>
    <n v="3297"/>
    <s v="Fábio Nobre"/>
    <s v="Ultimate"/>
    <x v="65"/>
    <s v="Yes"/>
    <n v="15"/>
    <s v="Quarterly"/>
    <s v="Yes"/>
    <n v="30"/>
    <s v="Yes"/>
    <n v="20"/>
    <n v="7"/>
    <n v="58"/>
  </r>
  <r>
    <n v="3298"/>
    <s v="Gabriel Oliveira"/>
    <s v="Standard"/>
    <x v="66"/>
    <s v="No"/>
    <n v="10"/>
    <s v="Annual"/>
    <s v="No"/>
    <s v="-"/>
    <s v="Yes"/>
    <n v="20"/>
    <n v="10"/>
    <n v="20"/>
  </r>
  <r>
    <n v="3299"/>
    <s v="Helena Santos"/>
    <s v="Core"/>
    <x v="67"/>
    <s v="Yes"/>
    <n v="5"/>
    <s v="Quarterly"/>
    <s v="No"/>
    <s v="-"/>
    <s v="No"/>
    <n v="0"/>
    <n v="1"/>
    <n v="4"/>
  </r>
  <r>
    <n v="3300"/>
    <s v="Ivan Carvalho"/>
    <s v="Ultimate"/>
    <x v="68"/>
    <s v="No"/>
    <n v="15"/>
    <s v="Monthly"/>
    <s v="Yes"/>
    <n v="30"/>
    <s v="Yes"/>
    <n v="20"/>
    <n v="15"/>
    <n v="50"/>
  </r>
  <r>
    <n v="3301"/>
    <s v="Júlia Ferreira"/>
    <s v="Standard"/>
    <x v="69"/>
    <s v="Yes"/>
    <n v="10"/>
    <s v="Monthly"/>
    <s v="No"/>
    <s v="-"/>
    <s v="Yes"/>
    <n v="20"/>
    <n v="5"/>
    <n v="25"/>
  </r>
  <r>
    <n v="3302"/>
    <s v="Karla Alves"/>
    <s v="Core"/>
    <x v="70"/>
    <s v="No"/>
    <n v="5"/>
    <s v="Annual"/>
    <s v="No"/>
    <s v="-"/>
    <s v="No"/>
    <n v="0"/>
    <n v="0"/>
    <n v="5"/>
  </r>
  <r>
    <n v="3303"/>
    <s v="Lucas Mendes"/>
    <s v="Ultimate"/>
    <x v="71"/>
    <s v="Yes"/>
    <n v="15"/>
    <s v="Quarterly"/>
    <s v="Yes"/>
    <n v="30"/>
    <s v="Yes"/>
    <n v="20"/>
    <n v="20"/>
    <n v="45"/>
  </r>
  <r>
    <n v="3304"/>
    <s v="Mônica Gomes"/>
    <s v="Standard"/>
    <x v="72"/>
    <s v="No"/>
    <n v="10"/>
    <s v="Quarterly"/>
    <s v="No"/>
    <s v="-"/>
    <s v="Yes"/>
    <n v="20"/>
    <n v="12"/>
    <n v="18"/>
  </r>
  <r>
    <n v="3305"/>
    <s v="Norberto Queiroz"/>
    <s v="Core"/>
    <x v="73"/>
    <s v="Yes"/>
    <n v="5"/>
    <s v="Monthly"/>
    <s v="No"/>
    <s v="-"/>
    <s v="No"/>
    <n v="0"/>
    <n v="2"/>
    <n v="3"/>
  </r>
  <r>
    <n v="3306"/>
    <s v="Otávio Barros"/>
    <s v="Ultimate"/>
    <x v="74"/>
    <s v="No"/>
    <n v="15"/>
    <s v="Annual"/>
    <s v="Yes"/>
    <n v="30"/>
    <s v="Yes"/>
    <n v="20"/>
    <n v="5"/>
    <n v="60"/>
  </r>
  <r>
    <n v="3307"/>
    <s v="Paula Vieira"/>
    <s v="Standard"/>
    <x v="75"/>
    <s v="Yes"/>
    <n v="10"/>
    <s v="Monthly"/>
    <s v="No"/>
    <s v="-"/>
    <s v="Yes"/>
    <n v="20"/>
    <n v="10"/>
    <n v="20"/>
  </r>
  <r>
    <n v="3308"/>
    <s v="Quentin Ramos"/>
    <s v="Core"/>
    <x v="76"/>
    <s v="No"/>
    <n v="5"/>
    <s v="Quarterly"/>
    <s v="No"/>
    <s v="-"/>
    <s v="No"/>
    <n v="0"/>
    <n v="0"/>
    <n v="5"/>
  </r>
  <r>
    <n v="3309"/>
    <s v="Raquel Novaes"/>
    <s v="Ultimate"/>
    <x v="77"/>
    <s v="Yes"/>
    <n v="15"/>
    <s v="Monthly"/>
    <s v="Yes"/>
    <n v="30"/>
    <s v="Yes"/>
    <n v="20"/>
    <n v="3"/>
    <n v="62"/>
  </r>
  <r>
    <n v="3310"/>
    <s v="Samantha Lopes"/>
    <s v="Standard"/>
    <x v="78"/>
    <s v="No"/>
    <n v="10"/>
    <s v="Annual"/>
    <s v="No"/>
    <s v="-"/>
    <s v="Yes"/>
    <n v="20"/>
    <n v="15"/>
    <n v="15"/>
  </r>
  <r>
    <n v="3311"/>
    <s v="Tiago Martins"/>
    <s v="Core"/>
    <x v="79"/>
    <s v="Yes"/>
    <n v="5"/>
    <s v="Monthly"/>
    <s v="No"/>
    <s v="-"/>
    <s v="No"/>
    <n v="0"/>
    <n v="1"/>
    <n v="4"/>
  </r>
  <r>
    <n v="3312"/>
    <s v="Ulysses Guimarães"/>
    <s v="Ultimate"/>
    <x v="80"/>
    <s v="No"/>
    <n v="15"/>
    <s v="Quarterly"/>
    <s v="Yes"/>
    <n v="30"/>
    <s v="Yes"/>
    <n v="20"/>
    <n v="7"/>
    <n v="58"/>
  </r>
  <r>
    <n v="3313"/>
    <s v="Vanessa Silva"/>
    <s v="Standard"/>
    <x v="81"/>
    <s v="Yes"/>
    <n v="10"/>
    <s v="Monthly"/>
    <s v="No"/>
    <s v="-"/>
    <s v="Yes"/>
    <n v="20"/>
    <n v="10"/>
    <n v="20"/>
  </r>
  <r>
    <n v="3314"/>
    <s v="William Carneiro"/>
    <s v="Core"/>
    <x v="82"/>
    <s v="No"/>
    <n v="5"/>
    <s v="Annual"/>
    <s v="No"/>
    <s v="-"/>
    <s v="No"/>
    <n v="0"/>
    <n v="0"/>
    <n v="5"/>
  </r>
  <r>
    <n v="3315"/>
    <s v="Ximena Rocha"/>
    <s v="Ultimate"/>
    <x v="83"/>
    <s v="Yes"/>
    <n v="15"/>
    <s v="Monthly"/>
    <s v="Yes"/>
    <n v="30"/>
    <s v="Yes"/>
    <n v="20"/>
    <n v="20"/>
    <n v="45"/>
  </r>
  <r>
    <n v="3316"/>
    <s v="Yasmin Figueiredo"/>
    <s v="Standard"/>
    <x v="84"/>
    <s v="No"/>
    <n v="10"/>
    <s v="Quarterly"/>
    <s v="No"/>
    <s v="-"/>
    <s v="Yes"/>
    <n v="20"/>
    <n v="15"/>
    <n v="15"/>
  </r>
  <r>
    <n v="3317"/>
    <s v="Zara Cunha"/>
    <s v="Core"/>
    <x v="85"/>
    <s v="Yes"/>
    <n v="5"/>
    <s v="Monthly"/>
    <s v="No"/>
    <s v="-"/>
    <s v="No"/>
    <n v="0"/>
    <n v="1"/>
    <n v="4"/>
  </r>
  <r>
    <n v="3318"/>
    <s v="Alan Teixeira"/>
    <s v="Ultimate"/>
    <x v="86"/>
    <s v="No"/>
    <n v="15"/>
    <s v="Annual"/>
    <s v="Yes"/>
    <n v="30"/>
    <s v="Yes"/>
    <n v="20"/>
    <n v="3"/>
    <n v="62"/>
  </r>
  <r>
    <n v="3319"/>
    <s v="Bárbara Oliveira"/>
    <s v="Standard"/>
    <x v="87"/>
    <s v="Yes"/>
    <n v="10"/>
    <s v="Monthly"/>
    <s v="No"/>
    <s v="-"/>
    <s v="Yes"/>
    <n v="20"/>
    <n v="10"/>
    <n v="20"/>
  </r>
  <r>
    <n v="3320"/>
    <s v="Carlos Junqueira"/>
    <s v="Core"/>
    <x v="88"/>
    <s v="No"/>
    <n v="5"/>
    <s v="Quarterly"/>
    <s v="No"/>
    <s v="-"/>
    <s v="No"/>
    <n v="0"/>
    <n v="0"/>
    <n v="5"/>
  </r>
  <r>
    <n v="3321"/>
    <s v="Daniela Moura"/>
    <s v="Ultimate"/>
    <x v="89"/>
    <s v="Yes"/>
    <n v="15"/>
    <s v="Monthly"/>
    <s v="Yes"/>
    <n v="30"/>
    <s v="Yes"/>
    <n v="20"/>
    <n v="5"/>
    <n v="60"/>
  </r>
  <r>
    <n v="3322"/>
    <s v="Eduardo Lima"/>
    <s v="Standard"/>
    <x v="90"/>
    <s v="No"/>
    <n v="10"/>
    <s v="Annual"/>
    <s v="No"/>
    <s v="-"/>
    <s v="Yes"/>
    <n v="20"/>
    <n v="15"/>
    <n v="15"/>
  </r>
  <r>
    <n v="3323"/>
    <s v="Fabiana Araújo"/>
    <s v="Core"/>
    <x v="91"/>
    <s v="Yes"/>
    <n v="5"/>
    <s v="Monthly"/>
    <s v="No"/>
    <s v="-"/>
    <s v="No"/>
    <n v="0"/>
    <n v="1"/>
    <n v="4"/>
  </r>
  <r>
    <n v="3324"/>
    <s v="Geraldo Ribeiro"/>
    <s v="Ultimate"/>
    <x v="92"/>
    <s v="No"/>
    <n v="15"/>
    <s v="Quarterly"/>
    <s v="Yes"/>
    <n v="30"/>
    <s v="Yes"/>
    <n v="20"/>
    <n v="20"/>
    <n v="45"/>
  </r>
  <r>
    <n v="3325"/>
    <s v="Héctor Vargas"/>
    <s v="Standard"/>
    <x v="93"/>
    <s v="Yes"/>
    <n v="10"/>
    <s v="Quarterly"/>
    <s v="No"/>
    <s v="-"/>
    <s v="Yes"/>
    <n v="20"/>
    <n v="15"/>
    <n v="15"/>
  </r>
  <r>
    <n v="3326"/>
    <s v="Isabela Fonseca"/>
    <s v="Core"/>
    <x v="94"/>
    <s v="No"/>
    <n v="5"/>
    <s v="Annual"/>
    <s v="No"/>
    <s v="-"/>
    <s v="No"/>
    <n v="0"/>
    <n v="0"/>
    <n v="5"/>
  </r>
  <r>
    <n v="3327"/>
    <s v="João Pedro Almeida"/>
    <s v="Ultimate"/>
    <x v="95"/>
    <s v="Yes"/>
    <n v="15"/>
    <s v="Monthly"/>
    <s v="Yes"/>
    <n v="30"/>
    <s v="Yes"/>
    <n v="20"/>
    <n v="7"/>
    <n v="58"/>
  </r>
  <r>
    <n v="3328"/>
    <s v="Klara Costa"/>
    <s v="Standard"/>
    <x v="96"/>
    <s v="No"/>
    <n v="10"/>
    <s v="Annual"/>
    <s v="No"/>
    <s v="-"/>
    <s v="Yes"/>
    <n v="20"/>
    <n v="10"/>
    <n v="20"/>
  </r>
  <r>
    <n v="3329"/>
    <s v="Luciana Mendes"/>
    <s v="Core"/>
    <x v="97"/>
    <s v="Yes"/>
    <n v="5"/>
    <s v="Quarterly"/>
    <s v="No"/>
    <s v="-"/>
    <s v="No"/>
    <n v="0"/>
    <n v="1"/>
    <n v="4"/>
  </r>
  <r>
    <n v="3330"/>
    <s v="Marcelo Gouveia"/>
    <s v="Ultimate"/>
    <x v="98"/>
    <s v="No"/>
    <n v="15"/>
    <s v="Monthly"/>
    <s v="Yes"/>
    <n v="30"/>
    <s v="Yes"/>
    <n v="20"/>
    <n v="15"/>
    <n v="50"/>
  </r>
  <r>
    <n v="3331"/>
    <s v="Nívea Borges"/>
    <s v="Standard"/>
    <x v="99"/>
    <s v="Yes"/>
    <n v="10"/>
    <s v="Monthly"/>
    <s v="No"/>
    <s v="-"/>
    <s v="Yes"/>
    <n v="20"/>
    <n v="5"/>
    <n v="25"/>
  </r>
  <r>
    <n v="3332"/>
    <s v="Oscar Nogueira"/>
    <s v="Core"/>
    <x v="100"/>
    <s v="No"/>
    <n v="5"/>
    <s v="Annual"/>
    <s v="No"/>
    <s v="-"/>
    <s v="No"/>
    <n v="0"/>
    <n v="0"/>
    <n v="5"/>
  </r>
  <r>
    <n v="3333"/>
    <s v="Patrícia Alves"/>
    <s v="Ultimate"/>
    <x v="101"/>
    <s v="Yes"/>
    <n v="15"/>
    <s v="Quarterly"/>
    <s v="Yes"/>
    <n v="30"/>
    <s v="Yes"/>
    <n v="20"/>
    <n v="20"/>
    <n v="45"/>
  </r>
  <r>
    <n v="3334"/>
    <s v="Rafaela Silva"/>
    <s v="Standard"/>
    <x v="102"/>
    <s v="No"/>
    <n v="10"/>
    <s v="Quarterly"/>
    <s v="No"/>
    <s v="-"/>
    <s v="Yes"/>
    <n v="20"/>
    <n v="12"/>
    <n v="18"/>
  </r>
  <r>
    <n v="3335"/>
    <s v="Samantha Moraes"/>
    <s v="Core"/>
    <x v="103"/>
    <s v="Yes"/>
    <n v="5"/>
    <s v="Monthly"/>
    <s v="No"/>
    <s v="-"/>
    <s v="No"/>
    <n v="0"/>
    <n v="2"/>
    <n v="3"/>
  </r>
  <r>
    <n v="3336"/>
    <s v="Tatiana Rocha"/>
    <s v="Core"/>
    <x v="104"/>
    <s v="Yes"/>
    <n v="5"/>
    <s v="Monthly"/>
    <s v="No"/>
    <s v="-"/>
    <s v="No"/>
    <n v="0"/>
    <n v="0"/>
    <n v="5"/>
  </r>
  <r>
    <n v="3337"/>
    <s v="Ulisses Tavares"/>
    <s v="Ultimate"/>
    <x v="105"/>
    <s v="No"/>
    <n v="15"/>
    <s v="Quarterly"/>
    <s v="Yes"/>
    <n v="30"/>
    <s v="Yes"/>
    <n v="20"/>
    <n v="7"/>
    <n v="58"/>
  </r>
  <r>
    <n v="3338"/>
    <s v="Víctor Lemos"/>
    <s v="Standard"/>
    <x v="106"/>
    <s v="Yes"/>
    <n v="10"/>
    <s v="Annual"/>
    <s v="No"/>
    <s v="-"/>
    <s v="Yes"/>
    <n v="20"/>
    <n v="10"/>
    <n v="20"/>
  </r>
  <r>
    <n v="3339"/>
    <s v="Wilma Barros"/>
    <s v="Core"/>
    <x v="107"/>
    <s v="No"/>
    <n v="5"/>
    <s v="Quarterly"/>
    <s v="No"/>
    <s v="-"/>
    <s v="No"/>
    <n v="0"/>
    <n v="1"/>
    <n v="4"/>
  </r>
  <r>
    <n v="3340"/>
    <s v="Xavier Nascimento"/>
    <s v="Ultimate"/>
    <x v="108"/>
    <s v="Yes"/>
    <n v="15"/>
    <s v="Monthly"/>
    <s v="Yes"/>
    <n v="30"/>
    <s v="Yes"/>
    <n v="20"/>
    <n v="15"/>
    <n v="50"/>
  </r>
  <r>
    <n v="3341"/>
    <s v="Yago Pereira"/>
    <s v="Standard"/>
    <x v="109"/>
    <s v="No"/>
    <n v="10"/>
    <s v="Monthly"/>
    <s v="No"/>
    <s v="-"/>
    <s v="Yes"/>
    <n v="20"/>
    <n v="5"/>
    <n v="25"/>
  </r>
  <r>
    <n v="3342"/>
    <s v="Zilda Ferreira"/>
    <s v="Core"/>
    <x v="110"/>
    <s v="Yes"/>
    <n v="5"/>
    <s v="Annual"/>
    <s v="No"/>
    <s v="-"/>
    <s v="No"/>
    <n v="0"/>
    <n v="0"/>
    <n v="5"/>
  </r>
  <r>
    <n v="3343"/>
    <s v="Amanda Lopes"/>
    <s v="Ultimate"/>
    <x v="111"/>
    <s v="No"/>
    <n v="15"/>
    <s v="Quarterly"/>
    <s v="Yes"/>
    <n v="30"/>
    <s v="Yes"/>
    <n v="20"/>
    <n v="20"/>
    <n v="45"/>
  </r>
  <r>
    <n v="3344"/>
    <s v="Bruno Miranda"/>
    <s v="Standard"/>
    <x v="112"/>
    <s v="Yes"/>
    <n v="10"/>
    <s v="Quarterly"/>
    <s v="No"/>
    <s v="-"/>
    <s v="Yes"/>
    <n v="20"/>
    <n v="12"/>
    <n v="18"/>
  </r>
  <r>
    <n v="3345"/>
    <s v="Célia Torres"/>
    <s v="Core"/>
    <x v="113"/>
    <s v="No"/>
    <n v="5"/>
    <s v="Monthly"/>
    <s v="No"/>
    <s v="-"/>
    <s v="No"/>
    <n v="0"/>
    <n v="2"/>
    <n v="3"/>
  </r>
  <r>
    <n v="3346"/>
    <s v="Diogo Souza"/>
    <s v="Ultimate"/>
    <x v="114"/>
    <s v="Yes"/>
    <n v="15"/>
    <s v="Annual"/>
    <s v="Yes"/>
    <n v="30"/>
    <s v="Yes"/>
    <n v="20"/>
    <n v="5"/>
    <n v="60"/>
  </r>
  <r>
    <n v="3347"/>
    <s v="Elisa Castro"/>
    <s v="Standard"/>
    <x v="115"/>
    <s v="No"/>
    <n v="10"/>
    <s v="Monthly"/>
    <s v="No"/>
    <s v="-"/>
    <s v="Yes"/>
    <n v="20"/>
    <n v="10"/>
    <n v="20"/>
  </r>
  <r>
    <n v="3348"/>
    <s v="Fátima Lima"/>
    <s v="Core"/>
    <x v="116"/>
    <s v="Yes"/>
    <n v="5"/>
    <s v="Quarterly"/>
    <s v="No"/>
    <s v="-"/>
    <s v="No"/>
    <n v="0"/>
    <n v="0"/>
    <n v="5"/>
  </r>
  <r>
    <n v="3349"/>
    <s v="Geraldo Ribeiro"/>
    <s v="Ultimate"/>
    <x v="117"/>
    <s v="No"/>
    <n v="15"/>
    <s v="Monthly"/>
    <s v="Yes"/>
    <n v="30"/>
    <s v="Yes"/>
    <n v="20"/>
    <n v="3"/>
    <n v="62"/>
  </r>
  <r>
    <n v="3350"/>
    <s v="Hélio Martins"/>
    <s v="Standard"/>
    <x v="118"/>
    <s v="Yes"/>
    <n v="10"/>
    <s v="Annual"/>
    <s v="No"/>
    <s v="-"/>
    <s v="Yes"/>
    <n v="20"/>
    <n v="15"/>
    <n v="15"/>
  </r>
  <r>
    <n v="3351"/>
    <s v="Íris Santos"/>
    <s v="Core"/>
    <x v="119"/>
    <s v="No"/>
    <n v="5"/>
    <s v="Monthly"/>
    <s v="No"/>
    <s v="-"/>
    <s v="No"/>
    <n v="0"/>
    <n v="1"/>
    <n v="4"/>
  </r>
  <r>
    <n v="3352"/>
    <s v="João Marcelo"/>
    <s v="Ultimate"/>
    <x v="120"/>
    <s v="Yes"/>
    <n v="15"/>
    <s v="Quarterly"/>
    <s v="Yes"/>
    <n v="30"/>
    <s v="Yes"/>
    <n v="20"/>
    <n v="7"/>
    <n v="58"/>
  </r>
  <r>
    <n v="3353"/>
    <s v="Larissa Gomes"/>
    <s v="Standard"/>
    <x v="121"/>
    <s v="No"/>
    <n v="10"/>
    <s v="Monthly"/>
    <s v="No"/>
    <s v="-"/>
    <s v="Yes"/>
    <n v="20"/>
    <n v="10"/>
    <n v="20"/>
  </r>
  <r>
    <n v="3354"/>
    <s v="Márcio Silva"/>
    <s v="Core"/>
    <x v="122"/>
    <s v="Yes"/>
    <n v="5"/>
    <s v="Annual"/>
    <s v="No"/>
    <s v="-"/>
    <s v="No"/>
    <n v="0"/>
    <n v="0"/>
    <n v="5"/>
  </r>
  <r>
    <n v="3355"/>
    <s v="Nadia Costa"/>
    <s v="Ultimate"/>
    <x v="123"/>
    <s v="No"/>
    <n v="15"/>
    <s v="Monthly"/>
    <s v="Yes"/>
    <n v="30"/>
    <s v="Yes"/>
    <n v="20"/>
    <n v="20"/>
    <n v="45"/>
  </r>
  <r>
    <n v="3356"/>
    <s v="Oscar Almeida"/>
    <s v="Standard"/>
    <x v="124"/>
    <s v="Yes"/>
    <n v="10"/>
    <s v="Quarterly"/>
    <s v="No"/>
    <s v="-"/>
    <s v="Yes"/>
    <n v="20"/>
    <n v="15"/>
    <n v="15"/>
  </r>
  <r>
    <n v="3357"/>
    <s v="Patricia Soares"/>
    <s v="Core"/>
    <x v="125"/>
    <s v="No"/>
    <n v="5"/>
    <s v="Monthly"/>
    <s v="No"/>
    <s v="-"/>
    <s v="No"/>
    <n v="0"/>
    <n v="1"/>
    <n v="4"/>
  </r>
  <r>
    <n v="3358"/>
    <s v="Quênia Barros"/>
    <s v="Ultimate"/>
    <x v="126"/>
    <s v="Yes"/>
    <n v="15"/>
    <s v="Annual"/>
    <s v="Yes"/>
    <n v="30"/>
    <s v="Yes"/>
    <n v="20"/>
    <n v="3"/>
    <n v="62"/>
  </r>
  <r>
    <n v="3359"/>
    <s v="Rafael Torres"/>
    <s v="Standard"/>
    <x v="127"/>
    <s v="No"/>
    <n v="10"/>
    <s v="Monthly"/>
    <s v="No"/>
    <s v="-"/>
    <s v="Yes"/>
    <n v="20"/>
    <n v="10"/>
    <n v="20"/>
  </r>
  <r>
    <n v="3360"/>
    <s v="Silvia Nascimento"/>
    <s v="Core"/>
    <x v="128"/>
    <s v="Yes"/>
    <n v="5"/>
    <s v="Quarterly"/>
    <s v="No"/>
    <s v="-"/>
    <s v="No"/>
    <n v="0"/>
    <n v="0"/>
    <n v="5"/>
  </r>
  <r>
    <n v="3361"/>
    <s v="Tiago Mendes"/>
    <s v="Ultimate"/>
    <x v="129"/>
    <s v="No"/>
    <n v="15"/>
    <s v="Monthly"/>
    <s v="Yes"/>
    <n v="30"/>
    <s v="Yes"/>
    <n v="20"/>
    <n v="15"/>
    <n v="50"/>
  </r>
  <r>
    <n v="3362"/>
    <s v="Ursula Silva"/>
    <s v="Standard"/>
    <x v="130"/>
    <s v="Yes"/>
    <n v="10"/>
    <s v="Annual"/>
    <s v="No"/>
    <s v="-"/>
    <s v="Yes"/>
    <n v="20"/>
    <n v="15"/>
    <n v="15"/>
  </r>
  <r>
    <n v="3363"/>
    <s v="Vanessa Moraes"/>
    <s v="Core"/>
    <x v="131"/>
    <s v="No"/>
    <n v="5"/>
    <s v="Monthly"/>
    <s v="No"/>
    <s v="-"/>
    <s v="No"/>
    <n v="0"/>
    <n v="1"/>
    <n v="4"/>
  </r>
  <r>
    <n v="3364"/>
    <s v="Waldir Junior"/>
    <s v="Ultimate"/>
    <x v="132"/>
    <s v="Yes"/>
    <n v="15"/>
    <s v="Quarterly"/>
    <s v="Yes"/>
    <n v="30"/>
    <s v="Yes"/>
    <n v="20"/>
    <n v="7"/>
    <n v="58"/>
  </r>
  <r>
    <n v="3365"/>
    <s v="Xavier Lopes"/>
    <s v="Standard"/>
    <x v="133"/>
    <s v="No"/>
    <n v="10"/>
    <s v="Monthly"/>
    <s v="No"/>
    <s v="-"/>
    <s v="Yes"/>
    <n v="20"/>
    <n v="10"/>
    <n v="20"/>
  </r>
  <r>
    <n v="3366"/>
    <s v="Yolanda Freitas"/>
    <s v="Core"/>
    <x v="134"/>
    <s v="Yes"/>
    <n v="5"/>
    <s v="Monthly"/>
    <s v="No"/>
    <s v="-"/>
    <s v="No"/>
    <n v="0"/>
    <n v="0"/>
    <n v="5"/>
  </r>
  <r>
    <n v="3367"/>
    <s v="Zacarias Nunes"/>
    <s v="Ultimate"/>
    <x v="135"/>
    <s v="No"/>
    <n v="15"/>
    <s v="Quarterly"/>
    <s v="Yes"/>
    <n v="30"/>
    <s v="Yes"/>
    <n v="20"/>
    <n v="7"/>
    <n v="58"/>
  </r>
  <r>
    <n v="3368"/>
    <s v="Ana Clara Barreto"/>
    <s v="Standard"/>
    <x v="136"/>
    <s v="Yes"/>
    <n v="10"/>
    <s v="Annual"/>
    <s v="No"/>
    <s v="-"/>
    <s v="Yes"/>
    <n v="20"/>
    <n v="10"/>
    <n v="20"/>
  </r>
  <r>
    <n v="3369"/>
    <s v="Bruno Henrique"/>
    <s v="Core"/>
    <x v="137"/>
    <s v="No"/>
    <n v="5"/>
    <s v="Quarterly"/>
    <s v="No"/>
    <s v="-"/>
    <s v="No"/>
    <n v="0"/>
    <n v="1"/>
    <n v="4"/>
  </r>
  <r>
    <n v="3370"/>
    <s v="Carlos Eduardo"/>
    <s v="Ultimate"/>
    <x v="138"/>
    <s v="Yes"/>
    <n v="15"/>
    <s v="Monthly"/>
    <s v="Yes"/>
    <n v="30"/>
    <s v="Yes"/>
    <n v="20"/>
    <n v="15"/>
    <n v="50"/>
  </r>
  <r>
    <n v="3371"/>
    <s v="Débora Lima"/>
    <s v="Standard"/>
    <x v="139"/>
    <s v="No"/>
    <n v="10"/>
    <s v="Monthly"/>
    <s v="No"/>
    <s v="-"/>
    <s v="Yes"/>
    <n v="20"/>
    <n v="5"/>
    <n v="25"/>
  </r>
  <r>
    <n v="3372"/>
    <s v="Elisa Neves"/>
    <s v="Core"/>
    <x v="140"/>
    <s v="Yes"/>
    <n v="5"/>
    <s v="Annual"/>
    <s v="No"/>
    <s v="-"/>
    <s v="No"/>
    <n v="0"/>
    <n v="0"/>
    <n v="5"/>
  </r>
  <r>
    <n v="3373"/>
    <s v="Fabiano Gomes"/>
    <s v="Ultimate"/>
    <x v="141"/>
    <s v="No"/>
    <n v="15"/>
    <s v="Quarterly"/>
    <s v="Yes"/>
    <n v="30"/>
    <s v="Yes"/>
    <n v="20"/>
    <n v="20"/>
    <n v="45"/>
  </r>
  <r>
    <n v="3374"/>
    <s v="Gisele Oliveira"/>
    <s v="Standard"/>
    <x v="142"/>
    <s v="Yes"/>
    <n v="10"/>
    <s v="Quarterly"/>
    <s v="No"/>
    <s v="-"/>
    <s v="Yes"/>
    <n v="20"/>
    <n v="12"/>
    <n v="18"/>
  </r>
  <r>
    <n v="3375"/>
    <s v="Héctor Silva"/>
    <s v="Core"/>
    <x v="143"/>
    <s v="No"/>
    <n v="5"/>
    <s v="Monthly"/>
    <s v="No"/>
    <s v="-"/>
    <s v="No"/>
    <n v="0"/>
    <n v="2"/>
    <n v="3"/>
  </r>
  <r>
    <n v="3376"/>
    <s v="Igor Martins"/>
    <s v="Ultimate"/>
    <x v="144"/>
    <s v="Yes"/>
    <n v="15"/>
    <s v="Annual"/>
    <s v="Yes"/>
    <n v="30"/>
    <s v="Yes"/>
    <n v="20"/>
    <n v="5"/>
    <n v="60"/>
  </r>
  <r>
    <n v="3377"/>
    <s v="Joana Figueiredo"/>
    <s v="Standard"/>
    <x v="145"/>
    <s v="No"/>
    <n v="10"/>
    <s v="Monthly"/>
    <s v="No"/>
    <s v="-"/>
    <s v="Yes"/>
    <n v="20"/>
    <n v="10"/>
    <n v="20"/>
  </r>
  <r>
    <n v="3378"/>
    <s v="Kleber Machado"/>
    <s v="Core"/>
    <x v="146"/>
    <s v="Yes"/>
    <n v="5"/>
    <s v="Quarterly"/>
    <s v="No"/>
    <s v="-"/>
    <s v="No"/>
    <n v="0"/>
    <n v="0"/>
    <n v="5"/>
  </r>
  <r>
    <n v="3379"/>
    <s v="Luciana Santos"/>
    <s v="Ultimate"/>
    <x v="147"/>
    <s v="No"/>
    <n v="15"/>
    <s v="Monthly"/>
    <s v="Yes"/>
    <n v="30"/>
    <s v="Yes"/>
    <n v="20"/>
    <n v="3"/>
    <n v="62"/>
  </r>
  <r>
    <n v="3380"/>
    <s v="Marcos Teixeira"/>
    <s v="Standard"/>
    <x v="148"/>
    <s v="Yes"/>
    <n v="10"/>
    <s v="Annual"/>
    <s v="No"/>
    <s v="-"/>
    <s v="Yes"/>
    <n v="20"/>
    <n v="15"/>
    <n v="15"/>
  </r>
  <r>
    <n v="3381"/>
    <s v="Natalia Costa"/>
    <s v="Core"/>
    <x v="149"/>
    <s v="No"/>
    <n v="5"/>
    <s v="Monthly"/>
    <s v="No"/>
    <s v="-"/>
    <s v="No"/>
    <n v="0"/>
    <n v="1"/>
    <n v="4"/>
  </r>
  <r>
    <n v="3382"/>
    <s v="Oscar Ribeiro"/>
    <s v="Ultimate"/>
    <x v="150"/>
    <s v="Yes"/>
    <n v="15"/>
    <s v="Quarterly"/>
    <s v="Yes"/>
    <n v="30"/>
    <s v="Yes"/>
    <n v="20"/>
    <n v="7"/>
    <n v="58"/>
  </r>
  <r>
    <n v="3383"/>
    <s v="Patricia Almeida"/>
    <s v="Standard"/>
    <x v="151"/>
    <s v="No"/>
    <n v="10"/>
    <s v="Monthly"/>
    <s v="No"/>
    <s v="-"/>
    <s v="Yes"/>
    <n v="20"/>
    <n v="10"/>
    <n v="20"/>
  </r>
  <r>
    <n v="3384"/>
    <s v="Quirino Junior"/>
    <s v="Core"/>
    <x v="152"/>
    <s v="Yes"/>
    <n v="5"/>
    <s v="Annual"/>
    <s v="No"/>
    <s v="-"/>
    <s v="No"/>
    <n v="0"/>
    <n v="0"/>
    <n v="5"/>
  </r>
  <r>
    <n v="3385"/>
    <s v="Renata Machado"/>
    <s v="Ultimate"/>
    <x v="153"/>
    <s v="No"/>
    <n v="15"/>
    <s v="Monthly"/>
    <s v="Yes"/>
    <n v="30"/>
    <s v="Yes"/>
    <n v="20"/>
    <n v="20"/>
    <n v="45"/>
  </r>
  <r>
    <n v="3386"/>
    <s v="Sônia Alves"/>
    <s v="Standard"/>
    <x v="154"/>
    <s v="Yes"/>
    <n v="10"/>
    <s v="Quarterly"/>
    <s v="No"/>
    <s v="-"/>
    <s v="Yes"/>
    <n v="20"/>
    <n v="15"/>
    <n v="15"/>
  </r>
  <r>
    <n v="3387"/>
    <s v="Tiago Nunes"/>
    <s v="Core"/>
    <x v="155"/>
    <s v="No"/>
    <n v="5"/>
    <s v="Monthly"/>
    <s v="No"/>
    <s v="-"/>
    <s v="No"/>
    <n v="0"/>
    <n v="1"/>
    <n v="4"/>
  </r>
  <r>
    <n v="3388"/>
    <s v="Ulysses Pereira"/>
    <s v="Ultimate"/>
    <x v="156"/>
    <s v="Yes"/>
    <n v="15"/>
    <s v="Annual"/>
    <s v="Yes"/>
    <n v="30"/>
    <s v="Yes"/>
    <n v="20"/>
    <n v="3"/>
    <n v="62"/>
  </r>
  <r>
    <n v="3389"/>
    <s v="Vanessa Lima"/>
    <s v="Standard"/>
    <x v="157"/>
    <s v="No"/>
    <n v="10"/>
    <s v="Monthly"/>
    <s v="No"/>
    <s v="-"/>
    <s v="Yes"/>
    <n v="20"/>
    <n v="10"/>
    <n v="20"/>
  </r>
  <r>
    <n v="3390"/>
    <s v="Wagner Santos"/>
    <s v="Core"/>
    <x v="158"/>
    <s v="Yes"/>
    <n v="5"/>
    <s v="Quarterly"/>
    <s v="No"/>
    <s v="-"/>
    <s v="No"/>
    <n v="0"/>
    <n v="0"/>
    <n v="5"/>
  </r>
  <r>
    <n v="3391"/>
    <s v="Xuxa Meneghel"/>
    <s v="Ultimate"/>
    <x v="159"/>
    <s v="No"/>
    <n v="15"/>
    <s v="Monthly"/>
    <s v="Yes"/>
    <n v="30"/>
    <s v="Yes"/>
    <n v="20"/>
    <n v="15"/>
    <n v="50"/>
  </r>
  <r>
    <n v="3392"/>
    <s v="Yasmin Silva"/>
    <s v="Standard"/>
    <x v="160"/>
    <s v="Yes"/>
    <n v="10"/>
    <s v="Annual"/>
    <s v="No"/>
    <s v="-"/>
    <s v="Yes"/>
    <n v="20"/>
    <n v="15"/>
    <n v="15"/>
  </r>
  <r>
    <n v="3393"/>
    <s v="Zacarias de Souza"/>
    <s v="Core"/>
    <x v="161"/>
    <s v="No"/>
    <n v="5"/>
    <s v="Monthly"/>
    <s v="No"/>
    <s v="-"/>
    <s v="No"/>
    <n v="0"/>
    <n v="1"/>
    <n v="4"/>
  </r>
  <r>
    <n v="3394"/>
    <s v="André Lima"/>
    <s v="Ultimate"/>
    <x v="162"/>
    <s v="Yes"/>
    <n v="15"/>
    <s v="Quarterly"/>
    <s v="Yes"/>
    <n v="30"/>
    <s v="Yes"/>
    <n v="20"/>
    <n v="7"/>
    <n v="58"/>
  </r>
  <r>
    <n v="3395"/>
    <s v="Bianca Freitas"/>
    <s v="Standard"/>
    <x v="163"/>
    <s v="No"/>
    <n v="10"/>
    <s v="Monthly"/>
    <s v="No"/>
    <s v="-"/>
    <s v="Yes"/>
    <n v="20"/>
    <n v="10"/>
    <n v="20"/>
  </r>
  <r>
    <n v="3396"/>
    <s v="Caio Mendes"/>
    <s v="Core"/>
    <x v="164"/>
    <s v="Yes"/>
    <n v="5"/>
    <s v="Annual"/>
    <s v="No"/>
    <s v="-"/>
    <s v="No"/>
    <n v="0"/>
    <n v="0"/>
    <n v="5"/>
  </r>
  <r>
    <n v="3397"/>
    <s v="Daniela Moura"/>
    <s v="Ultimate"/>
    <x v="165"/>
    <s v="No"/>
    <n v="15"/>
    <s v="Monthly"/>
    <s v="Yes"/>
    <n v="30"/>
    <s v="Yes"/>
    <n v="20"/>
    <n v="20"/>
    <n v="45"/>
  </r>
  <r>
    <n v="3398"/>
    <s v="Eduardo Costa"/>
    <s v="Standard"/>
    <x v="166"/>
    <s v="Yes"/>
    <n v="10"/>
    <s v="Quarterly"/>
    <s v="No"/>
    <s v="-"/>
    <s v="Yes"/>
    <n v="20"/>
    <n v="15"/>
    <n v="15"/>
  </r>
  <r>
    <n v="3399"/>
    <s v="Fernanda Gomes"/>
    <s v="Core"/>
    <x v="167"/>
    <s v="No"/>
    <n v="5"/>
    <s v="Monthly"/>
    <s v="No"/>
    <s v="-"/>
    <s v="No"/>
    <n v="0"/>
    <n v="1"/>
    <n v="4"/>
  </r>
  <r>
    <n v="3400"/>
    <s v="Guilherme Souza"/>
    <s v="Ultimate"/>
    <x v="168"/>
    <s v="Yes"/>
    <n v="15"/>
    <s v="Annual"/>
    <s v="Yes"/>
    <n v="30"/>
    <s v="Yes"/>
    <n v="20"/>
    <n v="5"/>
    <n v="60"/>
  </r>
  <r>
    <n v="3401"/>
    <s v="Helena Ribeiro"/>
    <s v="Standard"/>
    <x v="169"/>
    <s v="No"/>
    <n v="10"/>
    <s v="Monthly"/>
    <s v="No"/>
    <s v="-"/>
    <s v="Yes"/>
    <n v="20"/>
    <n v="10"/>
    <n v="20"/>
  </r>
  <r>
    <n v="3402"/>
    <s v="Igor Santos"/>
    <s v="Core"/>
    <x v="170"/>
    <s v="Yes"/>
    <n v="5"/>
    <s v="Quarterly"/>
    <s v="No"/>
    <s v="-"/>
    <s v="No"/>
    <n v="0"/>
    <n v="0"/>
    <n v="5"/>
  </r>
  <r>
    <n v="3403"/>
    <s v="João Carvalho"/>
    <s v="Ultimate"/>
    <x v="171"/>
    <s v="No"/>
    <n v="15"/>
    <s v="Monthly"/>
    <s v="Yes"/>
    <n v="30"/>
    <s v="Yes"/>
    <n v="20"/>
    <n v="3"/>
    <n v="62"/>
  </r>
  <r>
    <n v="3404"/>
    <s v="Klara Fagundes"/>
    <s v="Standard"/>
    <x v="172"/>
    <s v="Yes"/>
    <n v="10"/>
    <s v="Annual"/>
    <s v="No"/>
    <s v="-"/>
    <s v="Yes"/>
    <n v="20"/>
    <n v="15"/>
    <n v="15"/>
  </r>
  <r>
    <n v="3405"/>
    <s v="Lúcia Mendonça"/>
    <s v="Core"/>
    <x v="173"/>
    <s v="No"/>
    <n v="5"/>
    <s v="Monthly"/>
    <s v="No"/>
    <s v="-"/>
    <s v="No"/>
    <n v="0"/>
    <n v="1"/>
    <n v="4"/>
  </r>
  <r>
    <n v="3406"/>
    <s v="Marcelo Novaes"/>
    <s v="Core"/>
    <x v="174"/>
    <s v="Yes"/>
    <n v="5"/>
    <s v="Monthly"/>
    <s v="No"/>
    <s v="-"/>
    <s v="No"/>
    <n v="0"/>
    <n v="0"/>
    <n v="5"/>
  </r>
  <r>
    <n v="3407"/>
    <s v="Nina Pacheco"/>
    <s v="Ultimate"/>
    <x v="175"/>
    <s v="No"/>
    <n v="15"/>
    <s v="Quarterly"/>
    <s v="Yes"/>
    <n v="30"/>
    <s v="Yes"/>
    <n v="20"/>
    <n v="7"/>
    <n v="58"/>
  </r>
  <r>
    <n v="3408"/>
    <s v="Olívia Rios"/>
    <s v="Standard"/>
    <x v="176"/>
    <s v="Yes"/>
    <n v="10"/>
    <s v="Annual"/>
    <s v="No"/>
    <s v="-"/>
    <s v="Yes"/>
    <n v="20"/>
    <n v="10"/>
    <n v="20"/>
  </r>
  <r>
    <n v="3409"/>
    <s v="Paulo Quintana"/>
    <s v="Core"/>
    <x v="177"/>
    <s v="No"/>
    <n v="5"/>
    <s v="Quarterly"/>
    <s v="No"/>
    <s v="-"/>
    <s v="No"/>
    <n v="0"/>
    <n v="1"/>
    <n v="4"/>
  </r>
  <r>
    <n v="3410"/>
    <s v="Raquel Domingos"/>
    <s v="Ultimate"/>
    <x v="178"/>
    <s v="Yes"/>
    <n v="15"/>
    <s v="Monthly"/>
    <s v="Yes"/>
    <n v="30"/>
    <s v="Yes"/>
    <n v="20"/>
    <n v="15"/>
    <n v="50"/>
  </r>
  <r>
    <n v="3411"/>
    <s v="Samuel Viana"/>
    <s v="Standard"/>
    <x v="179"/>
    <s v="No"/>
    <n v="10"/>
    <s v="Monthly"/>
    <s v="No"/>
    <s v="-"/>
    <s v="Yes"/>
    <n v="20"/>
    <n v="5"/>
    <n v="25"/>
  </r>
  <r>
    <n v="3412"/>
    <s v="Tatiane Rocha"/>
    <s v="Core"/>
    <x v="180"/>
    <s v="Yes"/>
    <n v="5"/>
    <s v="Annual"/>
    <s v="No"/>
    <s v="-"/>
    <s v="No"/>
    <n v="0"/>
    <n v="0"/>
    <n v="5"/>
  </r>
  <r>
    <n v="3413"/>
    <s v="Ulysses Farias"/>
    <s v="Ultimate"/>
    <x v="181"/>
    <s v="No"/>
    <n v="15"/>
    <s v="Quarterly"/>
    <s v="Yes"/>
    <n v="30"/>
    <s v="Yes"/>
    <n v="20"/>
    <n v="20"/>
    <n v="45"/>
  </r>
  <r>
    <n v="3414"/>
    <s v="Vanessa Moreira"/>
    <s v="Standard"/>
    <x v="182"/>
    <s v="Yes"/>
    <n v="10"/>
    <s v="Quarterly"/>
    <s v="No"/>
    <s v="-"/>
    <s v="Yes"/>
    <n v="20"/>
    <n v="12"/>
    <n v="18"/>
  </r>
  <r>
    <n v="3415"/>
    <s v="William Carvalho"/>
    <s v="Core"/>
    <x v="183"/>
    <s v="No"/>
    <n v="5"/>
    <s v="Monthly"/>
    <s v="No"/>
    <s v="-"/>
    <s v="No"/>
    <n v="0"/>
    <n v="2"/>
    <n v="3"/>
  </r>
  <r>
    <n v="3416"/>
    <s v="Ximena Barros"/>
    <s v="Ultimate"/>
    <x v="184"/>
    <s v="Yes"/>
    <n v="15"/>
    <s v="Annual"/>
    <s v="Yes"/>
    <n v="30"/>
    <s v="Yes"/>
    <n v="20"/>
    <n v="5"/>
    <n v="60"/>
  </r>
  <r>
    <n v="3417"/>
    <s v="Yara Machado"/>
    <s v="Standard"/>
    <x v="185"/>
    <s v="No"/>
    <n v="10"/>
    <s v="Monthly"/>
    <s v="No"/>
    <s v="-"/>
    <s v="Yes"/>
    <n v="20"/>
    <n v="10"/>
    <n v="20"/>
  </r>
  <r>
    <n v="3418"/>
    <s v="Zacarias Costa"/>
    <s v="Core"/>
    <x v="186"/>
    <s v="Yes"/>
    <n v="5"/>
    <s v="Quarterly"/>
    <s v="No"/>
    <s v="-"/>
    <s v="No"/>
    <n v="0"/>
    <n v="0"/>
    <n v="5"/>
  </r>
  <r>
    <n v="3419"/>
    <s v="André Lopes"/>
    <s v="Ultimate"/>
    <x v="187"/>
    <s v="No"/>
    <n v="15"/>
    <s v="Monthly"/>
    <s v="Yes"/>
    <n v="30"/>
    <s v="Yes"/>
    <n v="20"/>
    <n v="3"/>
    <n v="62"/>
  </r>
  <r>
    <n v="3420"/>
    <s v="Beatriz Souza"/>
    <s v="Standard"/>
    <x v="188"/>
    <s v="Yes"/>
    <n v="10"/>
    <s v="Annual"/>
    <s v="No"/>
    <s v="-"/>
    <s v="Yes"/>
    <n v="20"/>
    <n v="15"/>
    <n v="15"/>
  </r>
  <r>
    <n v="3421"/>
    <s v="Caio Pereira"/>
    <s v="Core"/>
    <x v="189"/>
    <s v="No"/>
    <n v="5"/>
    <s v="Monthly"/>
    <s v="No"/>
    <s v="-"/>
    <s v="No"/>
    <n v="0"/>
    <n v="1"/>
    <n v="4"/>
  </r>
  <r>
    <n v="3422"/>
    <s v="Daniela Araújo"/>
    <s v="Ultimate"/>
    <x v="190"/>
    <s v="Yes"/>
    <n v="15"/>
    <s v="Quarterly"/>
    <s v="Yes"/>
    <n v="30"/>
    <s v="Yes"/>
    <n v="20"/>
    <n v="7"/>
    <n v="58"/>
  </r>
  <r>
    <n v="3423"/>
    <s v="Eduardo Santos"/>
    <s v="Standard"/>
    <x v="191"/>
    <s v="No"/>
    <n v="10"/>
    <s v="Monthly"/>
    <s v="No"/>
    <s v="-"/>
    <s v="Yes"/>
    <n v="20"/>
    <n v="10"/>
    <n v="20"/>
  </r>
  <r>
    <n v="3424"/>
    <s v="Fernanda Lima"/>
    <s v="Core"/>
    <x v="192"/>
    <s v="Yes"/>
    <n v="5"/>
    <s v="Annual"/>
    <s v="No"/>
    <s v="-"/>
    <s v="No"/>
    <n v="0"/>
    <n v="0"/>
    <n v="5"/>
  </r>
  <r>
    <n v="3425"/>
    <s v="Gabriel Teixeira"/>
    <s v="Ultimate"/>
    <x v="193"/>
    <s v="No"/>
    <n v="15"/>
    <s v="Monthly"/>
    <s v="Yes"/>
    <n v="30"/>
    <s v="Yes"/>
    <n v="20"/>
    <n v="20"/>
    <n v="45"/>
  </r>
  <r>
    <n v="3426"/>
    <s v="Helena Ribeiro"/>
    <s v="Standard"/>
    <x v="194"/>
    <s v="Yes"/>
    <n v="10"/>
    <s v="Quarterly"/>
    <s v="No"/>
    <s v="-"/>
    <s v="Yes"/>
    <n v="20"/>
    <n v="15"/>
    <n v="15"/>
  </r>
  <r>
    <n v="3427"/>
    <s v="Igor Mendes"/>
    <s v="Core"/>
    <x v="195"/>
    <s v="No"/>
    <n v="5"/>
    <s v="Monthly"/>
    <s v="No"/>
    <s v="-"/>
    <s v="No"/>
    <n v="0"/>
    <n v="1"/>
    <n v="4"/>
  </r>
  <r>
    <n v="3428"/>
    <s v="Joana Silveira"/>
    <s v="Ultimate"/>
    <x v="196"/>
    <s v="Yes"/>
    <n v="15"/>
    <s v="Annual"/>
    <s v="Yes"/>
    <n v="30"/>
    <s v="Yes"/>
    <n v="20"/>
    <n v="3"/>
    <n v="62"/>
  </r>
  <r>
    <n v="3429"/>
    <s v="Lucas Martins"/>
    <s v="Standard"/>
    <x v="197"/>
    <s v="No"/>
    <n v="10"/>
    <s v="Monthly"/>
    <s v="No"/>
    <s v="-"/>
    <s v="Yes"/>
    <n v="20"/>
    <n v="10"/>
    <n v="20"/>
  </r>
  <r>
    <n v="3430"/>
    <s v="Marcela Gouveia"/>
    <s v="Core"/>
    <x v="198"/>
    <s v="Yes"/>
    <n v="5"/>
    <s v="Quarterly"/>
    <s v="No"/>
    <s v="-"/>
    <s v="No"/>
    <n v="0"/>
    <n v="0"/>
    <n v="5"/>
  </r>
  <r>
    <n v="3431"/>
    <s v="Nicolas Borges"/>
    <s v="Ultimate"/>
    <x v="199"/>
    <s v="No"/>
    <n v="15"/>
    <s v="Monthly"/>
    <s v="Yes"/>
    <n v="30"/>
    <s v="Yes"/>
    <n v="20"/>
    <n v="15"/>
    <n v="50"/>
  </r>
  <r>
    <n v="3432"/>
    <s v="Olivia Freitas"/>
    <s v="Standard"/>
    <x v="200"/>
    <s v="Yes"/>
    <n v="10"/>
    <s v="Annual"/>
    <s v="No"/>
    <s v="-"/>
    <s v="Yes"/>
    <n v="20"/>
    <n v="15"/>
    <n v="15"/>
  </r>
  <r>
    <n v="3433"/>
    <s v="Paulo Nogueira"/>
    <s v="Core"/>
    <x v="201"/>
    <s v="No"/>
    <n v="5"/>
    <s v="Monthly"/>
    <s v="No"/>
    <s v="-"/>
    <s v="No"/>
    <n v="0"/>
    <n v="1"/>
    <n v="4"/>
  </r>
  <r>
    <n v="3434"/>
    <s v="Raquel Andrade"/>
    <s v="Ultimate"/>
    <x v="202"/>
    <s v="Yes"/>
    <n v="15"/>
    <s v="Quarterly"/>
    <s v="Yes"/>
    <n v="30"/>
    <s v="Yes"/>
    <n v="20"/>
    <n v="7"/>
    <n v="58"/>
  </r>
  <r>
    <n v="3435"/>
    <s v="Sônia Carvalho"/>
    <s v="Standard"/>
    <x v="203"/>
    <s v="No"/>
    <n v="10"/>
    <s v="Monthly"/>
    <s v="No"/>
    <s v="-"/>
    <s v="Yes"/>
    <n v="20"/>
    <n v="10"/>
    <n v="20"/>
  </r>
  <r>
    <n v="3436"/>
    <s v="Tiago Rodrigues"/>
    <s v="Core"/>
    <x v="204"/>
    <s v="Yes"/>
    <n v="5"/>
    <s v="Monthly"/>
    <s v="No"/>
    <s v="-"/>
    <s v="No"/>
    <n v="0"/>
    <n v="0"/>
    <n v="5"/>
  </r>
  <r>
    <n v="3437"/>
    <s v="Ursula Monteiro"/>
    <s v="Ultimate"/>
    <x v="205"/>
    <s v="No"/>
    <n v="15"/>
    <s v="Quarterly"/>
    <s v="Yes"/>
    <n v="30"/>
    <s v="Yes"/>
    <n v="20"/>
    <n v="7"/>
    <n v="58"/>
  </r>
  <r>
    <n v="3438"/>
    <s v="Vanessa Pereira"/>
    <s v="Standard"/>
    <x v="206"/>
    <s v="Yes"/>
    <n v="10"/>
    <s v="Annual"/>
    <s v="No"/>
    <s v="-"/>
    <s v="Yes"/>
    <n v="20"/>
    <n v="10"/>
    <n v="20"/>
  </r>
  <r>
    <n v="3439"/>
    <s v="Walter Silva"/>
    <s v="Core"/>
    <x v="207"/>
    <s v="No"/>
    <n v="5"/>
    <s v="Quarterly"/>
    <s v="No"/>
    <s v="-"/>
    <s v="No"/>
    <n v="0"/>
    <n v="1"/>
    <n v="4"/>
  </r>
  <r>
    <n v="3440"/>
    <s v="Xavier Almeida"/>
    <s v="Ultimate"/>
    <x v="208"/>
    <s v="Yes"/>
    <n v="15"/>
    <s v="Monthly"/>
    <s v="Yes"/>
    <n v="30"/>
    <s v="Yes"/>
    <n v="20"/>
    <n v="15"/>
    <n v="50"/>
  </r>
  <r>
    <n v="3441"/>
    <s v="Yasmine Correia"/>
    <s v="Standard"/>
    <x v="209"/>
    <s v="No"/>
    <n v="10"/>
    <s v="Monthly"/>
    <s v="No"/>
    <s v="-"/>
    <s v="Yes"/>
    <n v="20"/>
    <n v="5"/>
    <n v="25"/>
  </r>
  <r>
    <n v="3442"/>
    <s v="Zacarias Almeida"/>
    <s v="Core"/>
    <x v="210"/>
    <s v="Yes"/>
    <n v="5"/>
    <s v="Annual"/>
    <s v="No"/>
    <s v="-"/>
    <s v="No"/>
    <n v="0"/>
    <n v="0"/>
    <n v="5"/>
  </r>
  <r>
    <n v="3443"/>
    <s v="Amanda Costa"/>
    <s v="Ultimate"/>
    <x v="211"/>
    <s v="No"/>
    <n v="15"/>
    <s v="Quarterly"/>
    <s v="Yes"/>
    <n v="30"/>
    <s v="Yes"/>
    <n v="20"/>
    <n v="20"/>
    <n v="45"/>
  </r>
  <r>
    <n v="3444"/>
    <s v="Bruno Ferreira"/>
    <s v="Standard"/>
    <x v="212"/>
    <s v="Yes"/>
    <n v="10"/>
    <s v="Quarterly"/>
    <s v="No"/>
    <s v="-"/>
    <s v="Yes"/>
    <n v="20"/>
    <n v="12"/>
    <n v="18"/>
  </r>
  <r>
    <n v="3445"/>
    <s v="Carla Dias"/>
    <s v="Core"/>
    <x v="213"/>
    <s v="No"/>
    <n v="5"/>
    <s v="Monthly"/>
    <s v="No"/>
    <s v="-"/>
    <s v="No"/>
    <n v="0"/>
    <n v="2"/>
    <n v="3"/>
  </r>
  <r>
    <n v="3446"/>
    <s v="Diogo Martins"/>
    <s v="Ultimate"/>
    <x v="214"/>
    <s v="Yes"/>
    <n v="15"/>
    <s v="Annual"/>
    <s v="Yes"/>
    <n v="30"/>
    <s v="Yes"/>
    <n v="20"/>
    <n v="5"/>
    <n v="60"/>
  </r>
  <r>
    <n v="3447"/>
    <s v="Elisa Campos"/>
    <s v="Standard"/>
    <x v="215"/>
    <s v="No"/>
    <n v="10"/>
    <s v="Monthly"/>
    <s v="No"/>
    <s v="-"/>
    <s v="Yes"/>
    <n v="20"/>
    <n v="10"/>
    <n v="20"/>
  </r>
  <r>
    <n v="3448"/>
    <s v="Fabiana Lima"/>
    <s v="Core"/>
    <x v="216"/>
    <s v="Yes"/>
    <n v="5"/>
    <s v="Quarterly"/>
    <s v="No"/>
    <s v="-"/>
    <s v="No"/>
    <n v="0"/>
    <n v="0"/>
    <n v="5"/>
  </r>
  <r>
    <n v="3449"/>
    <s v="Gabriel Santos"/>
    <s v="Ultimate"/>
    <x v="217"/>
    <s v="No"/>
    <n v="15"/>
    <s v="Monthly"/>
    <s v="Yes"/>
    <n v="30"/>
    <s v="Yes"/>
    <n v="20"/>
    <n v="3"/>
    <n v="62"/>
  </r>
  <r>
    <n v="3450"/>
    <s v="Helena Ferreira"/>
    <s v="Standard"/>
    <x v="218"/>
    <s v="Yes"/>
    <n v="10"/>
    <s v="Annual"/>
    <s v="No"/>
    <s v="-"/>
    <s v="Yes"/>
    <n v="20"/>
    <n v="15"/>
    <n v="15"/>
  </r>
  <r>
    <n v="3451"/>
    <s v="Ígor Nunes"/>
    <s v="Core"/>
    <x v="219"/>
    <s v="No"/>
    <n v="5"/>
    <s v="Monthly"/>
    <s v="No"/>
    <s v="-"/>
    <s v="No"/>
    <n v="0"/>
    <n v="1"/>
    <n v="4"/>
  </r>
  <r>
    <n v="3452"/>
    <s v="Joana Silveira"/>
    <s v="Ultimate"/>
    <x v="220"/>
    <s v="Yes"/>
    <n v="15"/>
    <s v="Quarterly"/>
    <s v="Yes"/>
    <n v="30"/>
    <s v="Yes"/>
    <n v="20"/>
    <n v="7"/>
    <n v="58"/>
  </r>
  <r>
    <n v="3453"/>
    <s v="Kléber Oliveira"/>
    <s v="Standard"/>
    <x v="221"/>
    <s v="No"/>
    <n v="10"/>
    <s v="Monthly"/>
    <s v="No"/>
    <s v="-"/>
    <s v="Yes"/>
    <n v="20"/>
    <n v="10"/>
    <n v="20"/>
  </r>
  <r>
    <n v="3454"/>
    <s v="Luciana Morais"/>
    <s v="Core"/>
    <x v="222"/>
    <s v="Yes"/>
    <n v="5"/>
    <s v="Annual"/>
    <s v="No"/>
    <s v="-"/>
    <s v="No"/>
    <n v="0"/>
    <n v="0"/>
    <n v="5"/>
  </r>
  <r>
    <n v="3455"/>
    <s v="Marcos Vinícius"/>
    <s v="Ultimate"/>
    <x v="223"/>
    <s v="No"/>
    <n v="15"/>
    <s v="Monthly"/>
    <s v="Yes"/>
    <n v="30"/>
    <s v="Yes"/>
    <n v="20"/>
    <n v="20"/>
    <n v="45"/>
  </r>
  <r>
    <n v="3456"/>
    <s v="Natália Barros"/>
    <s v="Standard"/>
    <x v="224"/>
    <s v="Yes"/>
    <n v="10"/>
    <s v="Quarterly"/>
    <s v="No"/>
    <s v="-"/>
    <s v="Yes"/>
    <n v="20"/>
    <n v="15"/>
    <n v="15"/>
  </r>
  <r>
    <n v="3457"/>
    <s v="Oscar Sampaio"/>
    <s v="Core"/>
    <x v="225"/>
    <s v="No"/>
    <n v="5"/>
    <s v="Monthly"/>
    <s v="No"/>
    <s v="-"/>
    <s v="No"/>
    <n v="0"/>
    <n v="1"/>
    <n v="4"/>
  </r>
  <r>
    <n v="3458"/>
    <s v="Patrícia Leite"/>
    <s v="Ultimate"/>
    <x v="226"/>
    <s v="Yes"/>
    <n v="15"/>
    <s v="Annual"/>
    <s v="Yes"/>
    <n v="30"/>
    <s v="Yes"/>
    <n v="20"/>
    <n v="3"/>
    <n v="62"/>
  </r>
  <r>
    <n v="3459"/>
    <s v="Quênia Rocha"/>
    <s v="Standard"/>
    <x v="227"/>
    <s v="No"/>
    <n v="10"/>
    <s v="Monthly"/>
    <s v="No"/>
    <s v="-"/>
    <s v="Yes"/>
    <n v="20"/>
    <n v="10"/>
    <n v="20"/>
  </r>
  <r>
    <n v="3460"/>
    <s v="Rafael Torres"/>
    <s v="Core"/>
    <x v="228"/>
    <s v="Yes"/>
    <n v="5"/>
    <s v="Quarterly"/>
    <s v="No"/>
    <s v="-"/>
    <s v="No"/>
    <n v="0"/>
    <n v="0"/>
    <n v="5"/>
  </r>
  <r>
    <n v="3461"/>
    <s v="Sandra Gouveia"/>
    <s v="Ultimate"/>
    <x v="229"/>
    <s v="No"/>
    <n v="15"/>
    <s v="Monthly"/>
    <s v="Yes"/>
    <n v="30"/>
    <s v="Yes"/>
    <n v="20"/>
    <n v="15"/>
    <n v="50"/>
  </r>
  <r>
    <n v="3462"/>
    <s v="Tiago Lacerda"/>
    <s v="Standard"/>
    <x v="230"/>
    <s v="Yes"/>
    <n v="10"/>
    <s v="Annual"/>
    <s v="No"/>
    <s v="-"/>
    <s v="Yes"/>
    <n v="20"/>
    <n v="15"/>
    <n v="15"/>
  </r>
  <r>
    <n v="3463"/>
    <s v="Ursula Fonseca"/>
    <s v="Core"/>
    <x v="231"/>
    <s v="No"/>
    <n v="5"/>
    <s v="Monthly"/>
    <s v="No"/>
    <s v="-"/>
    <s v="No"/>
    <n v="0"/>
    <n v="1"/>
    <n v="4"/>
  </r>
  <r>
    <n v="3464"/>
    <s v="Vanessa Andrade"/>
    <s v="Ultimate"/>
    <x v="232"/>
    <s v="Yes"/>
    <n v="15"/>
    <s v="Quarterly"/>
    <s v="Yes"/>
    <n v="30"/>
    <s v="Yes"/>
    <n v="20"/>
    <n v="7"/>
    <n v="58"/>
  </r>
  <r>
    <n v="3465"/>
    <s v="William Castro"/>
    <s v="Standard"/>
    <x v="233"/>
    <s v="No"/>
    <n v="10"/>
    <s v="Monthly"/>
    <s v="No"/>
    <s v="-"/>
    <s v="Yes"/>
    <n v="20"/>
    <n v="10"/>
    <n v="20"/>
  </r>
  <r>
    <n v="3466"/>
    <s v="Xavier Monteiro"/>
    <s v="Core"/>
    <x v="234"/>
    <s v="Yes"/>
    <n v="5"/>
    <s v="Annual"/>
    <s v="No"/>
    <s v="-"/>
    <s v="No"/>
    <n v="0"/>
    <n v="0"/>
    <n v="5"/>
  </r>
  <r>
    <n v="3467"/>
    <s v="Yasmin Figueira"/>
    <s v="Ultimate"/>
    <x v="235"/>
    <s v="No"/>
    <n v="15"/>
    <s v="Monthly"/>
    <s v="Yes"/>
    <n v="30"/>
    <s v="Yes"/>
    <n v="20"/>
    <n v="15"/>
    <n v="50"/>
  </r>
  <r>
    <n v="3468"/>
    <s v="Zacarias Mendonça"/>
    <s v="Standard"/>
    <x v="236"/>
    <s v="Yes"/>
    <n v="10"/>
    <s v="Quarterly"/>
    <s v="No"/>
    <s v="-"/>
    <s v="Yes"/>
    <n v="20"/>
    <n v="12"/>
    <n v="18"/>
  </r>
  <r>
    <n v="3469"/>
    <s v="Amanda Menezes"/>
    <s v="Core"/>
    <x v="237"/>
    <s v="No"/>
    <n v="5"/>
    <s v="Monthly"/>
    <s v="No"/>
    <s v="-"/>
    <s v="No"/>
    <n v="0"/>
    <n v="2"/>
    <n v="3"/>
  </r>
  <r>
    <n v="3470"/>
    <s v="Bruno Santos"/>
    <s v="Ultimate"/>
    <x v="238"/>
    <s v="Yes"/>
    <n v="15"/>
    <s v="Annual"/>
    <s v="Yes"/>
    <n v="30"/>
    <s v="Yes"/>
    <n v="20"/>
    <n v="5"/>
    <n v="60"/>
  </r>
  <r>
    <n v="3471"/>
    <s v="Carla Ferreira"/>
    <s v="Standard"/>
    <x v="239"/>
    <s v="No"/>
    <n v="10"/>
    <s v="Monthly"/>
    <s v="No"/>
    <s v="-"/>
    <s v="Yes"/>
    <n v="20"/>
    <n v="10"/>
    <n v="20"/>
  </r>
  <r>
    <n v="3472"/>
    <s v="Diogo Alves"/>
    <s v="Core"/>
    <x v="240"/>
    <s v="Yes"/>
    <n v="5"/>
    <s v="Quarterly"/>
    <s v="No"/>
    <s v="-"/>
    <s v="No"/>
    <n v="0"/>
    <n v="0"/>
    <n v="5"/>
  </r>
  <r>
    <n v="3473"/>
    <s v="Elisa Neves"/>
    <s v="Ultimate"/>
    <x v="241"/>
    <s v="No"/>
    <n v="15"/>
    <s v="Monthly"/>
    <s v="Yes"/>
    <n v="30"/>
    <s v="Yes"/>
    <n v="20"/>
    <n v="3"/>
    <n v="62"/>
  </r>
  <r>
    <n v="3474"/>
    <s v="Fabiano Pires"/>
    <s v="Standard"/>
    <x v="242"/>
    <s v="Yes"/>
    <n v="10"/>
    <s v="Annual"/>
    <s v="No"/>
    <s v="-"/>
    <s v="Yes"/>
    <n v="20"/>
    <n v="15"/>
    <n v="15"/>
  </r>
  <r>
    <n v="3475"/>
    <s v="Giovana Ribeiro"/>
    <s v="Core"/>
    <x v="243"/>
    <s v="No"/>
    <n v="5"/>
    <s v="Monthly"/>
    <s v="No"/>
    <s v="-"/>
    <s v="No"/>
    <n v="0"/>
    <n v="1"/>
    <n v="4"/>
  </r>
  <r>
    <n v="3476"/>
    <s v="Hélio Costa"/>
    <s v="Ultimate"/>
    <x v="244"/>
    <s v="Yes"/>
    <n v="15"/>
    <s v="Quarterly"/>
    <s v="Yes"/>
    <n v="30"/>
    <s v="Yes"/>
    <n v="20"/>
    <n v="7"/>
    <n v="58"/>
  </r>
  <r>
    <n v="3477"/>
    <s v="Íris Loureiro"/>
    <s v="Standard"/>
    <x v="245"/>
    <s v="No"/>
    <n v="10"/>
    <s v="Monthly"/>
    <s v="No"/>
    <s v="-"/>
    <s v="Yes"/>
    <n v="20"/>
    <n v="10"/>
    <n v="20"/>
  </r>
  <r>
    <n v="3478"/>
    <s v="João Pereira"/>
    <s v="Core"/>
    <x v="246"/>
    <s v="Yes"/>
    <n v="5"/>
    <s v="Annual"/>
    <s v="No"/>
    <s v="-"/>
    <s v="No"/>
    <n v="0"/>
    <n v="0"/>
    <n v="5"/>
  </r>
  <r>
    <n v="3479"/>
    <s v="Klara Silva"/>
    <s v="Ultimate"/>
    <x v="247"/>
    <s v="No"/>
    <n v="15"/>
    <s v="Monthly"/>
    <s v="Yes"/>
    <n v="30"/>
    <s v="Yes"/>
    <n v="20"/>
    <n v="20"/>
    <n v="45"/>
  </r>
  <r>
    <n v="3480"/>
    <s v="Luciana Barros"/>
    <s v="Standard"/>
    <x v="248"/>
    <s v="Yes"/>
    <n v="10"/>
    <s v="Quarterly"/>
    <s v="No"/>
    <s v="-"/>
    <s v="Yes"/>
    <n v="20"/>
    <n v="15"/>
    <n v="15"/>
  </r>
  <r>
    <n v="3481"/>
    <s v="Marcos Gomes"/>
    <s v="Core"/>
    <x v="249"/>
    <s v="No"/>
    <n v="5"/>
    <s v="Monthly"/>
    <s v="No"/>
    <s v="-"/>
    <s v="No"/>
    <n v="0"/>
    <n v="1"/>
    <n v="4"/>
  </r>
  <r>
    <n v="3482"/>
    <s v="Natália Soares"/>
    <s v="Ultimate"/>
    <x v="250"/>
    <s v="Yes"/>
    <n v="15"/>
    <s v="Annual"/>
    <s v="Yes"/>
    <n v="30"/>
    <s v="Yes"/>
    <n v="20"/>
    <n v="3"/>
    <n v="62"/>
  </r>
  <r>
    <n v="3483"/>
    <s v="Oscar Machado"/>
    <s v="Standard"/>
    <x v="251"/>
    <s v="No"/>
    <n v="10"/>
    <s v="Monthly"/>
    <s v="No"/>
    <s v="-"/>
    <s v="Yes"/>
    <n v="20"/>
    <n v="10"/>
    <n v="20"/>
  </r>
  <r>
    <n v="3484"/>
    <s v="Patrícia Lima"/>
    <s v="Core"/>
    <x v="252"/>
    <s v="Yes"/>
    <n v="5"/>
    <s v="Quarterly"/>
    <s v="No"/>
    <s v="-"/>
    <s v="No"/>
    <n v="0"/>
    <n v="0"/>
    <n v="5"/>
  </r>
  <r>
    <n v="3485"/>
    <s v="Quirino Neto"/>
    <s v="Ultimate"/>
    <x v="253"/>
    <s v="No"/>
    <n v="15"/>
    <s v="Monthly"/>
    <s v="Yes"/>
    <n v="30"/>
    <s v="Yes"/>
    <n v="20"/>
    <n v="15"/>
    <n v="50"/>
  </r>
  <r>
    <n v="3486"/>
    <s v="Rafaela Souza"/>
    <s v="Core"/>
    <x v="254"/>
    <s v="Yes"/>
    <n v="5"/>
    <s v="Monthly"/>
    <s v="No"/>
    <s v="-"/>
    <s v="No"/>
    <n v="0"/>
    <n v="0"/>
    <n v="5"/>
  </r>
  <r>
    <n v="3487"/>
    <s v="Sandro Almeida"/>
    <s v="Ultimate"/>
    <x v="255"/>
    <s v="No"/>
    <n v="15"/>
    <s v="Quarterly"/>
    <s v="Yes"/>
    <n v="30"/>
    <s v="Yes"/>
    <n v="20"/>
    <n v="7"/>
    <n v="58"/>
  </r>
  <r>
    <n v="3488"/>
    <s v="Tânia Ribeiro"/>
    <s v="Standard"/>
    <x v="256"/>
    <s v="Yes"/>
    <n v="10"/>
    <s v="Annual"/>
    <s v="No"/>
    <s v="-"/>
    <s v="Yes"/>
    <n v="20"/>
    <n v="10"/>
    <n v="20"/>
  </r>
  <r>
    <n v="3489"/>
    <s v="Ugo Dias"/>
    <s v="Core"/>
    <x v="257"/>
    <s v="No"/>
    <n v="5"/>
    <s v="Quarterly"/>
    <s v="No"/>
    <s v="-"/>
    <s v="No"/>
    <n v="0"/>
    <n v="1"/>
    <n v="4"/>
  </r>
  <r>
    <n v="3490"/>
    <s v="Valéria Lima"/>
    <s v="Ultimate"/>
    <x v="258"/>
    <s v="Yes"/>
    <n v="15"/>
    <s v="Monthly"/>
    <s v="Yes"/>
    <n v="30"/>
    <s v="Yes"/>
    <n v="20"/>
    <n v="15"/>
    <n v="50"/>
  </r>
  <r>
    <n v="3491"/>
    <s v="William Fernandes"/>
    <s v="Standard"/>
    <x v="259"/>
    <s v="No"/>
    <n v="10"/>
    <s v="Monthly"/>
    <s v="No"/>
    <s v="-"/>
    <s v="Yes"/>
    <n v="20"/>
    <n v="5"/>
    <n v="25"/>
  </r>
  <r>
    <n v="3492"/>
    <s v="Xuxa Mendes"/>
    <s v="Core"/>
    <x v="260"/>
    <s v="Yes"/>
    <n v="5"/>
    <s v="Annual"/>
    <s v="No"/>
    <s v="-"/>
    <s v="No"/>
    <n v="0"/>
    <n v="0"/>
    <n v="5"/>
  </r>
  <r>
    <n v="3493"/>
    <s v="Ygor Farias"/>
    <s v="Ultimate"/>
    <x v="261"/>
    <s v="No"/>
    <n v="15"/>
    <s v="Quarterly"/>
    <s v="Yes"/>
    <n v="30"/>
    <s v="Yes"/>
    <n v="20"/>
    <n v="20"/>
    <n v="45"/>
  </r>
  <r>
    <n v="3494"/>
    <s v="Zilda Barros"/>
    <s v="Standard"/>
    <x v="262"/>
    <s v="Yes"/>
    <n v="10"/>
    <s v="Quarterly"/>
    <s v="No"/>
    <s v="-"/>
    <s v="Yes"/>
    <n v="20"/>
    <n v="12"/>
    <n v="18"/>
  </r>
  <r>
    <n v="3495"/>
    <s v="Amanda Santos"/>
    <s v="Core"/>
    <x v="263"/>
    <s v="No"/>
    <n v="5"/>
    <s v="Monthly"/>
    <s v="No"/>
    <s v="-"/>
    <s v="No"/>
    <n v="0"/>
    <n v="2"/>
    <n v="3"/>
  </r>
  <r>
    <n v="3496"/>
    <s v="Bruno Costa"/>
    <s v="Ultimate"/>
    <x v="264"/>
    <s v="Yes"/>
    <n v="15"/>
    <s v="Annual"/>
    <s v="Yes"/>
    <n v="30"/>
    <s v="Yes"/>
    <n v="20"/>
    <n v="5"/>
    <n v="60"/>
  </r>
  <r>
    <n v="3497"/>
    <s v="Carla Rodrigues"/>
    <s v="Standard"/>
    <x v="265"/>
    <s v="No"/>
    <n v="10"/>
    <s v="Monthly"/>
    <s v="No"/>
    <s v="-"/>
    <s v="Yes"/>
    <n v="20"/>
    <n v="10"/>
    <n v="20"/>
  </r>
  <r>
    <n v="3498"/>
    <s v="Diogo Pereira"/>
    <s v="Core"/>
    <x v="266"/>
    <s v="Yes"/>
    <n v="5"/>
    <s v="Quarterly"/>
    <s v="No"/>
    <s v="-"/>
    <s v="No"/>
    <n v="0"/>
    <n v="0"/>
    <n v="5"/>
  </r>
  <r>
    <n v="3499"/>
    <s v="Elisa Correia"/>
    <s v="Ultimate"/>
    <x v="267"/>
    <s v="No"/>
    <n v="15"/>
    <s v="Monthly"/>
    <s v="Yes"/>
    <n v="30"/>
    <s v="Yes"/>
    <n v="20"/>
    <n v="3"/>
    <n v="62"/>
  </r>
  <r>
    <n v="3500"/>
    <s v="Fábio Lourenço"/>
    <s v="Standard"/>
    <x v="268"/>
    <s v="Yes"/>
    <n v="10"/>
    <s v="Annual"/>
    <s v="No"/>
    <s v="-"/>
    <s v="Yes"/>
    <n v="20"/>
    <n v="15"/>
    <n v="15"/>
  </r>
  <r>
    <n v="3501"/>
    <s v="Gabriela Neves"/>
    <s v="Core"/>
    <x v="269"/>
    <s v="No"/>
    <n v="5"/>
    <s v="Monthly"/>
    <s v="No"/>
    <s v="-"/>
    <s v="No"/>
    <n v="0"/>
    <n v="1"/>
    <n v="4"/>
  </r>
  <r>
    <n v="3502"/>
    <s v="Henrique Gonçalves"/>
    <s v="Ultimate"/>
    <x v="270"/>
    <s v="Yes"/>
    <n v="15"/>
    <s v="Quarterly"/>
    <s v="Yes"/>
    <n v="30"/>
    <s v="Yes"/>
    <n v="20"/>
    <n v="7"/>
    <n v="58"/>
  </r>
  <r>
    <n v="3503"/>
    <s v="Íris Santos"/>
    <s v="Standard"/>
    <x v="271"/>
    <s v="No"/>
    <n v="10"/>
    <s v="Monthly"/>
    <s v="No"/>
    <s v="-"/>
    <s v="Yes"/>
    <n v="20"/>
    <n v="10"/>
    <n v="20"/>
  </r>
  <r>
    <n v="3504"/>
    <s v="João Marcelo Alves"/>
    <s v="Core"/>
    <x v="272"/>
    <s v="Yes"/>
    <n v="5"/>
    <s v="Annual"/>
    <s v="No"/>
    <s v="-"/>
    <s v="No"/>
    <n v="0"/>
    <n v="0"/>
    <n v="5"/>
  </r>
  <r>
    <n v="3505"/>
    <s v="Klara Fonseca"/>
    <s v="Ultimate"/>
    <x v="273"/>
    <s v="No"/>
    <n v="15"/>
    <s v="Monthly"/>
    <s v="Yes"/>
    <n v="30"/>
    <s v="Yes"/>
    <n v="20"/>
    <n v="20"/>
    <n v="45"/>
  </r>
  <r>
    <n v="3506"/>
    <s v="Lucas Mendonça"/>
    <s v="Standard"/>
    <x v="274"/>
    <s v="Yes"/>
    <n v="10"/>
    <s v="Quarterly"/>
    <s v="No"/>
    <s v="-"/>
    <s v="Yes"/>
    <n v="20"/>
    <n v="15"/>
    <n v="15"/>
  </r>
  <r>
    <n v="3507"/>
    <s v="Marcela Torres"/>
    <s v="Core"/>
    <x v="275"/>
    <s v="No"/>
    <n v="5"/>
    <s v="Monthly"/>
    <s v="No"/>
    <s v="-"/>
    <s v="No"/>
    <n v="0"/>
    <n v="1"/>
    <n v="4"/>
  </r>
  <r>
    <n v="3508"/>
    <s v="Natália Castro"/>
    <s v="Ultimate"/>
    <x v="276"/>
    <s v="Yes"/>
    <n v="15"/>
    <s v="Annual"/>
    <s v="Yes"/>
    <n v="30"/>
    <s v="Yes"/>
    <n v="20"/>
    <n v="3"/>
    <n v="62"/>
  </r>
  <r>
    <n v="3509"/>
    <s v="Oscar Martins"/>
    <s v="Standard"/>
    <x v="277"/>
    <s v="No"/>
    <n v="10"/>
    <s v="Monthly"/>
    <s v="No"/>
    <s v="-"/>
    <s v="Yes"/>
    <n v="20"/>
    <n v="10"/>
    <n v="20"/>
  </r>
  <r>
    <n v="3510"/>
    <s v="Patrícia Oliveira"/>
    <s v="Core"/>
    <x v="278"/>
    <s v="Yes"/>
    <n v="5"/>
    <s v="Quarterly"/>
    <s v="No"/>
    <s v="-"/>
    <s v="No"/>
    <n v="0"/>
    <n v="0"/>
    <n v="5"/>
  </r>
  <r>
    <n v="3511"/>
    <s v="Quentin Nogueira"/>
    <s v="Ultimate"/>
    <x v="279"/>
    <s v="No"/>
    <n v="15"/>
    <s v="Monthly"/>
    <s v="Yes"/>
    <n v="30"/>
    <s v="Yes"/>
    <n v="20"/>
    <n v="15"/>
    <n v="50"/>
  </r>
  <r>
    <n v="3512"/>
    <s v="Raquel Silva"/>
    <s v="Standard"/>
    <x v="280"/>
    <s v="Yes"/>
    <n v="10"/>
    <s v="Annual"/>
    <s v="No"/>
    <s v="-"/>
    <s v="Yes"/>
    <n v="20"/>
    <n v="15"/>
    <n v="15"/>
  </r>
  <r>
    <n v="3513"/>
    <s v="Sandro Gomes"/>
    <s v="Core"/>
    <x v="281"/>
    <s v="No"/>
    <n v="5"/>
    <s v="Monthly"/>
    <s v="No"/>
    <s v="-"/>
    <s v="No"/>
    <n v="0"/>
    <n v="1"/>
    <n v="4"/>
  </r>
  <r>
    <n v="3514"/>
    <s v="Tânia Machado"/>
    <s v="Ultimate"/>
    <x v="282"/>
    <s v="Yes"/>
    <n v="15"/>
    <s v="Quarterly"/>
    <s v="Yes"/>
    <n v="30"/>
    <s v="Yes"/>
    <n v="20"/>
    <n v="7"/>
    <n v="58"/>
  </r>
  <r>
    <n v="3515"/>
    <s v="Ursula Silva"/>
    <s v="Standard"/>
    <x v="283"/>
    <s v="No"/>
    <n v="10"/>
    <s v="Monthly"/>
    <s v="No"/>
    <s v="-"/>
    <s v="Yes"/>
    <n v="20"/>
    <n v="10"/>
    <n v="20"/>
  </r>
  <r>
    <n v="3516"/>
    <s v="Vanessa Moraes"/>
    <s v="Core"/>
    <x v="284"/>
    <s v="Yes"/>
    <n v="5"/>
    <s v="Annual"/>
    <s v="No"/>
    <s v="-"/>
    <s v="No"/>
    <n v="0"/>
    <n v="0"/>
    <n v="5"/>
  </r>
  <r>
    <n v="3517"/>
    <s v="William Carvalho"/>
    <s v="Ultimate"/>
    <x v="285"/>
    <s v="No"/>
    <n v="15"/>
    <s v="Monthly"/>
    <s v="Yes"/>
    <n v="30"/>
    <s v="Yes"/>
    <n v="20"/>
    <n v="20"/>
    <n v="45"/>
  </r>
  <r>
    <n v="3518"/>
    <s v="Xavier Reis"/>
    <s v="Standard"/>
    <x v="286"/>
    <s v="Yes"/>
    <n v="10"/>
    <s v="Quarterly"/>
    <s v="No"/>
    <s v="-"/>
    <s v="Yes"/>
    <n v="20"/>
    <n v="12"/>
    <n v="18"/>
  </r>
  <r>
    <n v="3519"/>
    <s v="Yasmin Rocha"/>
    <s v="Core"/>
    <x v="287"/>
    <s v="No"/>
    <n v="5"/>
    <s v="Monthly"/>
    <s v="No"/>
    <s v="-"/>
    <s v="No"/>
    <n v="0"/>
    <n v="2"/>
    <n v="3"/>
  </r>
  <r>
    <n v="3520"/>
    <s v="Zacarias Duarte"/>
    <s v="Ultimate"/>
    <x v="288"/>
    <s v="Yes"/>
    <n v="15"/>
    <s v="Annual"/>
    <s v="Yes"/>
    <n v="30"/>
    <s v="Yes"/>
    <n v="20"/>
    <n v="5"/>
    <n v="60"/>
  </r>
  <r>
    <n v="3521"/>
    <s v="Amanda Freitas"/>
    <s v="Standard"/>
    <x v="289"/>
    <s v="No"/>
    <n v="10"/>
    <s v="Monthly"/>
    <s v="No"/>
    <s v="-"/>
    <s v="Yes"/>
    <n v="20"/>
    <n v="10"/>
    <n v="20"/>
  </r>
  <r>
    <n v="3522"/>
    <s v="Bruno Almeida"/>
    <s v="Core"/>
    <x v="290"/>
    <s v="Yes"/>
    <n v="5"/>
    <s v="Quarterly"/>
    <s v="No"/>
    <s v="-"/>
    <s v="No"/>
    <n v="0"/>
    <n v="0"/>
    <n v="5"/>
  </r>
  <r>
    <n v="3523"/>
    <s v="Carla Siqueira"/>
    <s v="Ultimate"/>
    <x v="291"/>
    <s v="No"/>
    <n v="15"/>
    <s v="Monthly"/>
    <s v="Yes"/>
    <n v="30"/>
    <s v="Yes"/>
    <n v="20"/>
    <n v="3"/>
    <n v="62"/>
  </r>
  <r>
    <n v="3524"/>
    <s v="Diogo Ramos"/>
    <s v="Standard"/>
    <x v="292"/>
    <s v="Yes"/>
    <n v="10"/>
    <s v="Annual"/>
    <s v="No"/>
    <s v="-"/>
    <s v="Yes"/>
    <n v="20"/>
    <n v="15"/>
    <n v="15"/>
  </r>
  <r>
    <n v="3525"/>
    <s v="Elisa Magalhães"/>
    <s v="Core"/>
    <x v="293"/>
    <s v="No"/>
    <n v="5"/>
    <s v="Monthly"/>
    <s v="No"/>
    <s v="-"/>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00335-F831-46F5-91B1-31799F675D0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C30" firstHeaderRow="1" firstDataRow="1" firstDataCol="1"/>
  <pivotFields count="15">
    <pivotField showAll="0"/>
    <pivotField showAll="0"/>
    <pivotField showAll="0"/>
    <pivotField axis="axisRow"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44" showAll="0"/>
    <pivotField showAll="0"/>
    <pivotField showAll="0"/>
    <pivotField showAll="0"/>
    <pivotField showAll="0"/>
    <pivotField numFmtId="44" showAll="0"/>
    <pivotField numFmtId="44" showAll="0"/>
    <pivotField dataField="1" numFmtId="4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3"/>
  </rowFields>
  <rowItems count="13">
    <i>
      <x v="1"/>
    </i>
    <i>
      <x v="2"/>
    </i>
    <i>
      <x v="3"/>
    </i>
    <i>
      <x v="4"/>
    </i>
    <i>
      <x v="5"/>
    </i>
    <i>
      <x v="6"/>
    </i>
    <i>
      <x v="7"/>
    </i>
    <i>
      <x v="8"/>
    </i>
    <i>
      <x v="9"/>
    </i>
    <i>
      <x v="10"/>
    </i>
    <i>
      <x v="11"/>
    </i>
    <i>
      <x v="12"/>
    </i>
    <i t="grand">
      <x/>
    </i>
  </rowItems>
  <colItems count="1">
    <i/>
  </colItems>
  <dataFields count="1">
    <dataField name="Sum of Total Value" fld="12"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09055-A150-4685-86FB-E8F789A3958A}"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F8" firstHeaderRow="0" firstDataRow="1" firstDataCol="1"/>
  <pivotFields count="13">
    <pivotField showAll="0">
      <items count="2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items count="282">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x="280"/>
        <item t="default"/>
      </items>
    </pivotField>
    <pivotField showAll="0"/>
    <pivotField showAll="0"/>
    <pivotField axis="axisRow" dataField="1" showAll="0">
      <items count="4">
        <item x="1"/>
        <item x="0"/>
        <item x="2"/>
        <item t="default"/>
      </items>
    </pivotField>
    <pivotField showAll="0"/>
    <pivotField showAll="0">
      <items count="5">
        <item x="1"/>
        <item h="1" x="0"/>
        <item h="1" x="2"/>
        <item h="1" x="3"/>
        <item t="default"/>
      </items>
    </pivotField>
    <pivotField showAll="0"/>
    <pivotField showAll="0"/>
    <pivotField showAll="0"/>
    <pivotField showAll="0"/>
    <pivotField dataField="1" showAll="0"/>
    <pivotField dataField="1" showAll="0"/>
  </pivotFields>
  <rowFields count="1">
    <field x="4"/>
  </rowFields>
  <rowItems count="3">
    <i>
      <x/>
    </i>
    <i>
      <x v="1"/>
    </i>
    <i t="grand">
      <x/>
    </i>
  </rowItems>
  <colFields count="1">
    <field x="-2"/>
  </colFields>
  <colItems count="4">
    <i>
      <x/>
    </i>
    <i i="1">
      <x v="1"/>
    </i>
    <i i="2">
      <x v="2"/>
    </i>
    <i i="3">
      <x v="3"/>
    </i>
  </colItems>
  <dataFields count="4">
    <dataField name="Sum of Total Value" fld="12" baseField="0" baseItem="0" numFmtId="44"/>
    <dataField name="Average of Total Value" fld="12" subtotal="average" baseField="0" baseItem="1" numFmtId="44"/>
    <dataField name="Count of Auto Renewal" fld="4" subtotal="count" baseField="0" baseItem="0"/>
    <dataField name="Sum of Coupon Value" fld="11" baseField="0" baseItem="0"/>
  </dataFields>
  <formats count="2">
    <format dxfId="12">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1" xr10:uid="{7791F7A2-A4D0-4928-89F9-6892F6B7F4D1}" sourceName="Subscription Type">
  <pivotTables>
    <pivotTable tabId="3" name="PivotTable1"/>
  </pivotTables>
  <data>
    <tabular pivotCacheId="1156028779">
      <items count="4">
        <i x="1" s="1"/>
        <i x="0"/>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247EF86D-E935-4B16-93A3-DA95DD15F768}" cache="Slicer_Subscription_Type1" caption="Subscription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27">
  <autoFilter ref="A1:M296" xr:uid="{34E0E886-4200-4B36-97B3-63DB74FF40A0}">
    <filterColumn colId="7">
      <filters>
        <filter val="Yes"/>
      </filters>
    </filterColumn>
  </autoFilter>
  <tableColumns count="13">
    <tableColumn id="1" xr3:uid="{C4A90516-688A-46BF-9167-EA16C2A8A652}" name="Subscriber ID" dataDxfId="26"/>
    <tableColumn id="2" xr3:uid="{53DD39D0-2220-4121-9E9D-4EAA7E151C0F}" name="Name" dataDxfId="25"/>
    <tableColumn id="3" xr3:uid="{4F5FF271-4C57-4BE0-8F2C-F82C8551625C}" name="Plan" dataDxfId="24"/>
    <tableColumn id="4" xr3:uid="{8C17EB93-79B9-4E55-B8F7-BEB82F8253E9}" name="Start Date" dataDxfId="23"/>
    <tableColumn id="5" xr3:uid="{48CEDF9B-1689-482A-A828-5CCE7713264A}" name="Auto Renewal" dataDxfId="22"/>
    <tableColumn id="6" xr3:uid="{78B82374-9AA7-4E38-AE4F-78CDE6C83720}" name="Subscription Price" dataDxfId="21"/>
    <tableColumn id="7" xr3:uid="{F2433F68-AF33-49D0-B1FB-19A396074EDE}" name="Subscription Type" dataDxfId="20"/>
    <tableColumn id="8" xr3:uid="{FD4D9C95-F6E5-4933-9068-A71FF7DF9343}" name="EA Play Season Pass" dataDxfId="19"/>
    <tableColumn id="13" xr3:uid="{978DD0D2-834E-4CE4-A39B-30976086932F}" name="EA Play Season Pass_x000a_Price" dataDxfId="18"/>
    <tableColumn id="9" xr3:uid="{6E29F111-C395-4580-9DAD-3407D9E8B1A4}" name="Minecraft Season Pass" dataDxfId="17"/>
    <tableColumn id="10" xr3:uid="{EF544EAA-7F25-4FD5-A10E-8E62804DB9E3}" name="Minecraft Season Pass Price" dataDxfId="16"/>
    <tableColumn id="11" xr3:uid="{7F6EB64A-1F07-4E48-9F0F-AC7D9DCD26F8}" name="Coupon Value" dataDxfId="15"/>
    <tableColumn id="12" xr3:uid="{2B04ABC8-DE6F-426E-ADC0-D8AFC68CA58E}" name="Total Value" dataDxfId="1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E5" sqref="E5"/>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activeCell="E13" sqref="A2:M296"/>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3">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3">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3">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3">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3">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3">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3">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3">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3">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3">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3">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3">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3">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3">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3">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3">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3">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3">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3">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3">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3">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3">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3">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3">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3">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3">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3">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3">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3">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3">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3">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3">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3">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3">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3">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3">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3">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3">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3">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3">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3">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3">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3">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3">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3">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3">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3">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3">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3">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3">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3">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3">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3">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3">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3">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3">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3">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3">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3">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3">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3">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3">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3">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3">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3">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3">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3">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3">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3">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3">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3">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3">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3">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3">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3">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3">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3">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3">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3">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3">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3">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3">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3">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3">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3">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3">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3">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3">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3">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3">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3">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3">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3">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3">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3">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3">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3">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3">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3">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3">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3">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3">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3">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3">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3">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3">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3">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3">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3">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3">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3">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3">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3">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3">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3">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3">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3">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3">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3">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3">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3">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3">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3">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3">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3">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3">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3">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3">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3">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3">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3">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3">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3">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3">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3">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3">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3">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3">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3">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3">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3">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3">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3">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3">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3">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3">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3">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3">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3">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3">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3">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3">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3">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3">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3">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3">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3">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3">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3">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3">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3">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3">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3">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3">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3">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3">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3">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3">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3">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3">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3">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3">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3">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3">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3">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3">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3">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3">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3">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3">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3">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3">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3">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3">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3">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3">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3">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3">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3">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3">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3">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3">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3">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3">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3">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3">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3">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5:G30"/>
  <sheetViews>
    <sheetView showGridLines="0" topLeftCell="A3" workbookViewId="0">
      <selection activeCell="E26" sqref="E26"/>
    </sheetView>
  </sheetViews>
  <sheetFormatPr defaultRowHeight="14.4" x14ac:dyDescent="0.3"/>
  <cols>
    <col min="2" max="2" width="12.6640625" bestFit="1" customWidth="1"/>
    <col min="3" max="3" width="16.5546875" bestFit="1" customWidth="1"/>
    <col min="4" max="4" width="19.44140625" bestFit="1" customWidth="1"/>
    <col min="5" max="5" width="20.21875" bestFit="1" customWidth="1"/>
    <col min="6" max="6" width="19.21875" bestFit="1" customWidth="1"/>
    <col min="7" max="7" width="19.44140625" bestFit="1" customWidth="1"/>
    <col min="8" max="8" width="21.21875" bestFit="1" customWidth="1"/>
    <col min="9" max="9" width="24.109375" bestFit="1" customWidth="1"/>
    <col min="10" max="297" width="5" bestFit="1" customWidth="1"/>
    <col min="298" max="298" width="7" bestFit="1" customWidth="1"/>
    <col min="299" max="299" width="10.5546875" bestFit="1" customWidth="1"/>
  </cols>
  <sheetData>
    <row r="5" spans="2:7" x14ac:dyDescent="0.3">
      <c r="B5" s="13" t="s">
        <v>313</v>
      </c>
      <c r="C5" t="s">
        <v>315</v>
      </c>
      <c r="D5" t="s">
        <v>316</v>
      </c>
      <c r="E5" t="s">
        <v>317</v>
      </c>
      <c r="F5" t="s">
        <v>318</v>
      </c>
    </row>
    <row r="6" spans="2:7" x14ac:dyDescent="0.3">
      <c r="B6" s="14" t="s">
        <v>23</v>
      </c>
      <c r="C6" s="15">
        <v>217</v>
      </c>
      <c r="D6" s="15">
        <v>19.727272727272727</v>
      </c>
      <c r="E6" s="12">
        <v>11</v>
      </c>
      <c r="F6" s="12">
        <v>58</v>
      </c>
    </row>
    <row r="7" spans="2:7" x14ac:dyDescent="0.3">
      <c r="B7" s="14" t="s">
        <v>19</v>
      </c>
      <c r="C7" s="15">
        <v>1537</v>
      </c>
      <c r="D7" s="15">
        <v>25.616666666666667</v>
      </c>
      <c r="E7" s="12">
        <v>60</v>
      </c>
      <c r="F7" s="12">
        <v>418</v>
      </c>
    </row>
    <row r="8" spans="2:7" x14ac:dyDescent="0.3">
      <c r="B8" s="14" t="s">
        <v>314</v>
      </c>
      <c r="C8" s="15">
        <v>1754</v>
      </c>
      <c r="D8" s="15">
        <v>24.704225352112676</v>
      </c>
      <c r="E8" s="12">
        <v>71</v>
      </c>
      <c r="F8" s="12">
        <v>476</v>
      </c>
    </row>
    <row r="12" spans="2:7" x14ac:dyDescent="0.3">
      <c r="F12" t="s">
        <v>319</v>
      </c>
    </row>
    <row r="13" spans="2:7" x14ac:dyDescent="0.3">
      <c r="F13" t="str">
        <f>B6</f>
        <v>No</v>
      </c>
      <c r="G13">
        <f>GETPIVOTDATA("Count of Auto Renewal",$B$5,"Auto Renewal","No")</f>
        <v>11</v>
      </c>
    </row>
    <row r="14" spans="2:7" x14ac:dyDescent="0.3">
      <c r="F14" t="str">
        <f>B7</f>
        <v>Yes</v>
      </c>
      <c r="G14">
        <f>GETPIVOTDATA("Count of Auto Renewal",$B$5,"Auto Renewal","Yes")</f>
        <v>60</v>
      </c>
    </row>
    <row r="17" spans="2:6" x14ac:dyDescent="0.3">
      <c r="B17" s="13" t="s">
        <v>313</v>
      </c>
      <c r="C17" t="s">
        <v>315</v>
      </c>
      <c r="D17" t="s">
        <v>335</v>
      </c>
    </row>
    <row r="18" spans="2:6" x14ac:dyDescent="0.3">
      <c r="B18" s="14" t="s">
        <v>323</v>
      </c>
      <c r="C18" s="15">
        <v>65</v>
      </c>
      <c r="D18">
        <v>1</v>
      </c>
      <c r="E18" t="str">
        <f>B18</f>
        <v>jan</v>
      </c>
      <c r="F18">
        <f>GETPIVOTDATA("Total Value",$B$17,"Months (Start Date)",D18)</f>
        <v>65</v>
      </c>
    </row>
    <row r="19" spans="2:6" x14ac:dyDescent="0.3">
      <c r="B19" s="14" t="s">
        <v>324</v>
      </c>
      <c r="C19" s="15">
        <v>82</v>
      </c>
      <c r="D19">
        <v>2</v>
      </c>
      <c r="E19" t="str">
        <f>B19</f>
        <v>fev</v>
      </c>
      <c r="F19">
        <f t="shared" ref="F19:F29" si="0">GETPIVOTDATA("Total Value",$B$17,"Months (Start Date)",D19)</f>
        <v>82</v>
      </c>
    </row>
    <row r="20" spans="2:6" x14ac:dyDescent="0.3">
      <c r="B20" s="14" t="s">
        <v>325</v>
      </c>
      <c r="C20" s="15">
        <v>801</v>
      </c>
      <c r="D20">
        <v>3</v>
      </c>
      <c r="E20" t="str">
        <f>B20</f>
        <v>mar</v>
      </c>
      <c r="F20">
        <f t="shared" si="0"/>
        <v>801</v>
      </c>
    </row>
    <row r="21" spans="2:6" x14ac:dyDescent="0.3">
      <c r="B21" s="14" t="s">
        <v>326</v>
      </c>
      <c r="C21" s="15">
        <v>782</v>
      </c>
      <c r="D21">
        <v>4</v>
      </c>
      <c r="E21" t="str">
        <f>B21</f>
        <v>abr</v>
      </c>
      <c r="F21">
        <f t="shared" si="0"/>
        <v>782</v>
      </c>
    </row>
    <row r="22" spans="2:6" x14ac:dyDescent="0.3">
      <c r="B22" s="14" t="s">
        <v>327</v>
      </c>
      <c r="C22" s="15">
        <v>777</v>
      </c>
      <c r="D22">
        <v>5</v>
      </c>
      <c r="E22" t="str">
        <f>B22</f>
        <v>mai</v>
      </c>
      <c r="F22">
        <f t="shared" si="0"/>
        <v>777</v>
      </c>
    </row>
    <row r="23" spans="2:6" x14ac:dyDescent="0.3">
      <c r="B23" s="14" t="s">
        <v>328</v>
      </c>
      <c r="C23" s="15">
        <v>770</v>
      </c>
      <c r="D23">
        <v>6</v>
      </c>
      <c r="E23" t="str">
        <f>B23</f>
        <v>jun</v>
      </c>
      <c r="F23">
        <f t="shared" si="0"/>
        <v>770</v>
      </c>
    </row>
    <row r="24" spans="2:6" x14ac:dyDescent="0.3">
      <c r="B24" s="14" t="s">
        <v>329</v>
      </c>
      <c r="C24" s="15">
        <v>784</v>
      </c>
      <c r="D24">
        <v>7</v>
      </c>
      <c r="E24" t="str">
        <f>B24</f>
        <v>jul</v>
      </c>
      <c r="F24">
        <f t="shared" si="0"/>
        <v>784</v>
      </c>
    </row>
    <row r="25" spans="2:6" x14ac:dyDescent="0.3">
      <c r="B25" s="14" t="s">
        <v>330</v>
      </c>
      <c r="C25" s="15">
        <v>787</v>
      </c>
      <c r="D25">
        <v>8</v>
      </c>
      <c r="E25" t="str">
        <f>B25</f>
        <v>ago</v>
      </c>
      <c r="F25">
        <f t="shared" si="0"/>
        <v>787</v>
      </c>
    </row>
    <row r="26" spans="2:6" x14ac:dyDescent="0.3">
      <c r="B26" s="14" t="s">
        <v>331</v>
      </c>
      <c r="C26" s="15">
        <v>780</v>
      </c>
      <c r="D26">
        <v>9</v>
      </c>
      <c r="E26" t="str">
        <f>B26</f>
        <v>set</v>
      </c>
      <c r="F26">
        <f t="shared" si="0"/>
        <v>780</v>
      </c>
    </row>
    <row r="27" spans="2:6" x14ac:dyDescent="0.3">
      <c r="B27" s="14" t="s">
        <v>332</v>
      </c>
      <c r="C27" s="15">
        <v>832</v>
      </c>
      <c r="D27">
        <v>10</v>
      </c>
      <c r="E27" t="str">
        <f>B27</f>
        <v>out</v>
      </c>
      <c r="F27">
        <f t="shared" si="0"/>
        <v>832</v>
      </c>
    </row>
    <row r="28" spans="2:6" x14ac:dyDescent="0.3">
      <c r="B28" s="14" t="s">
        <v>333</v>
      </c>
      <c r="C28" s="15">
        <v>784</v>
      </c>
      <c r="D28">
        <v>11</v>
      </c>
      <c r="E28" t="str">
        <f>B28</f>
        <v>nov</v>
      </c>
      <c r="F28">
        <f t="shared" si="0"/>
        <v>784</v>
      </c>
    </row>
    <row r="29" spans="2:6" x14ac:dyDescent="0.3">
      <c r="B29" s="14" t="s">
        <v>334</v>
      </c>
      <c r="C29" s="15">
        <v>389</v>
      </c>
      <c r="D29">
        <v>12</v>
      </c>
      <c r="E29" t="str">
        <f>B29</f>
        <v>dez</v>
      </c>
      <c r="F29">
        <f t="shared" si="0"/>
        <v>389</v>
      </c>
    </row>
    <row r="30" spans="2:6" x14ac:dyDescent="0.3">
      <c r="B30" s="14" t="s">
        <v>314</v>
      </c>
      <c r="C30" s="15">
        <v>7633</v>
      </c>
    </row>
  </sheetData>
  <pageMargins left="0.511811024" right="0.511811024" top="0.78740157499999996" bottom="0.78740157499999996" header="0.31496062000000002" footer="0.3149606200000000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J1:J21"/>
  <sheetViews>
    <sheetView showGridLines="0" tabSelected="1" zoomScale="55" zoomScaleNormal="55" workbookViewId="0">
      <selection activeCell="J31" sqref="J31"/>
    </sheetView>
  </sheetViews>
  <sheetFormatPr defaultRowHeight="14.4" x14ac:dyDescent="0.3"/>
  <cols>
    <col min="1" max="1" width="20" customWidth="1"/>
    <col min="2" max="2" width="3.5546875" customWidth="1"/>
    <col min="5" max="5" width="27.33203125" bestFit="1" customWidth="1"/>
    <col min="6" max="6" width="34.77734375" customWidth="1"/>
    <col min="8" max="8" width="8.88671875" customWidth="1"/>
    <col min="9" max="9" width="20.44140625" bestFit="1" customWidth="1"/>
    <col min="10" max="10" width="18.21875" bestFit="1" customWidth="1"/>
    <col min="12" max="12" width="6.5546875" customWidth="1"/>
    <col min="14" max="14" width="17.77734375" bestFit="1" customWidth="1"/>
  </cols>
  <sheetData>
    <row r="1" spans="10:10" s="4" customFormat="1" x14ac:dyDescent="0.3"/>
    <row r="2" spans="10:10" s="4" customFormat="1" ht="39" customHeight="1" x14ac:dyDescent="0.3"/>
    <row r="3" spans="10:10" s="7" customFormat="1" ht="8.25" customHeight="1" x14ac:dyDescent="0.3"/>
    <row r="4" spans="10:10" s="7" customFormat="1" x14ac:dyDescent="0.3"/>
    <row r="5" spans="10:10" s="7" customFormat="1" x14ac:dyDescent="0.3"/>
    <row r="6" spans="10:10" s="7" customFormat="1" x14ac:dyDescent="0.3"/>
    <row r="7" spans="10:10" s="7" customFormat="1" ht="16.8" x14ac:dyDescent="0.4">
      <c r="J7" s="16" t="s">
        <v>322</v>
      </c>
    </row>
    <row r="8" spans="10:10" s="7" customFormat="1" ht="16.8" x14ac:dyDescent="0.4">
      <c r="J8" s="17">
        <f>GETPIVOTDATA("Total Value",C̳álculos!$B$5)</f>
        <v>1754</v>
      </c>
    </row>
    <row r="9" spans="10:10" s="7" customFormat="1" ht="16.8" x14ac:dyDescent="0.4">
      <c r="J9" s="16"/>
    </row>
    <row r="10" spans="10:10" s="7" customFormat="1" ht="16.8" x14ac:dyDescent="0.4">
      <c r="J10" s="16" t="s">
        <v>321</v>
      </c>
    </row>
    <row r="11" spans="10:10" s="7" customFormat="1" ht="16.8" x14ac:dyDescent="0.4">
      <c r="J11" s="17">
        <f>GETPIVOTDATA("Average of Total Value",C̳álculos!$B$5)</f>
        <v>24.704225352112676</v>
      </c>
    </row>
    <row r="12" spans="10:10" s="7" customFormat="1" ht="16.8" x14ac:dyDescent="0.4">
      <c r="J12" s="16"/>
    </row>
    <row r="13" spans="10:10" s="7" customFormat="1" ht="16.8" x14ac:dyDescent="0.4">
      <c r="J13" s="16" t="s">
        <v>320</v>
      </c>
    </row>
    <row r="14" spans="10:10" s="7" customFormat="1" ht="16.8" x14ac:dyDescent="0.4">
      <c r="J14" s="18">
        <f>GETPIVOTDATA("Count of Auto Renewal",C̳álculos!$B$5,"Auto Renewal","Yes")/GETPIVOTDATA("Count of Auto Renewal",C̳álculos!$B$5)</f>
        <v>0.84507042253521125</v>
      </c>
    </row>
    <row r="15" spans="10:10" s="7" customFormat="1" x14ac:dyDescent="0.3"/>
    <row r="16" spans="10:10" s="7" customFormat="1" x14ac:dyDescent="0.3"/>
    <row r="17" s="7" customFormat="1" x14ac:dyDescent="0.3"/>
    <row r="18" s="7" customFormat="1" x14ac:dyDescent="0.3"/>
    <row r="19" s="7" customFormat="1" x14ac:dyDescent="0.3"/>
    <row r="20" s="7" customFormat="1" x14ac:dyDescent="0.3"/>
    <row r="21" s="7" customFormat="1" x14ac:dyDescent="0.3"/>
  </sheetData>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Guilherme Santos Macedo</cp:lastModifiedBy>
  <dcterms:created xsi:type="dcterms:W3CDTF">2024-12-19T13:13:10Z</dcterms:created>
  <dcterms:modified xsi:type="dcterms:W3CDTF">2026-05-17T19:46:41Z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